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owTo" sheetId="1" state="visible" r:id="rId3"/>
    <sheet name="02_Model" sheetId="2" state="visible" r:id="rId4"/>
    <sheet name="01_Quickscan" sheetId="3" state="visible" r:id="rId5"/>
    <sheet name="03_Summary" sheetId="4" state="visible" r:id="rId6"/>
  </sheets>
  <definedNames>
    <definedName function="false" hidden="true" localSheetId="2" name="_xlnm._FilterDatabase" vbProcedure="false">01_Quickscan!$A$4:$V$45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<sst xmlns="http://schemas.openxmlformats.org/spreadsheetml/2006/main" count="230" uniqueCount="179">
  <si>
    <t xml:space="preserve">Cryptographic quick-scan — first-pass PQC triage</t>
  </si>
  <si>
    <t xml:space="preserve">What this is</t>
  </si>
  <si>
    <t xml:space="preserve">Purpose</t>
  </si>
  <si>
    <t xml:space="preserve">A triage instrument, not an inventory. Twelve dropdown questions per system, roughly five minutes each, across your top 20-30 systems. It answers one question only: which systems get the full CBOM survey first, and in what order.</t>
  </si>
  <si>
    <t xml:space="preserve">What it deliberately does not do</t>
  </si>
  <si>
    <t xml:space="preserve">It does not record individual algorithms, key sizes, certificates or interfaces. It records the WORST case per system. Precision comes in pass two; this pass is about ranking.</t>
  </si>
  <si>
    <t xml:space="preserve">Time budget</t>
  </si>
  <si>
    <t xml:space="preserve">Half a day of prefill, then one 30-minute workshop per portfolio with the owners in the room. Do not email it out and wait.</t>
  </si>
  <si>
    <t xml:space="preserve">How to run it</t>
  </si>
  <si>
    <t xml:space="preserve">1. Prefill what you can</t>
  </si>
  <si>
    <t xml:space="preserve">See 04_Prefill. Columns E, H, I and part of J can be machine-derived for anything with a TLS endpoint or an SBOM. Aim to hand each owner a row that is already 60% complete.</t>
  </si>
  <si>
    <t xml:space="preserve">2. Ask the twelve</t>
  </si>
  <si>
    <t xml:space="preserve">Columns D-O. Every one is a dropdown except the name, owner and notes. If someone cannot answer, choose 'Unknown' — unknowns score as moderate risk on purpose so they surface rather than disappear.</t>
  </si>
  <si>
    <t xml:space="preserve">3. Read the triage band</t>
  </si>
  <si>
    <t xml:space="preserve">Column U ranks each system 1-4. Column V tells you what kind of move it is. Send band 1 and 2 into the full CBOM survey; leave bands 3 and 4 until the next cycle.</t>
  </si>
  <si>
    <t xml:space="preserve">4. Re-run quarterly</t>
  </si>
  <si>
    <t xml:space="preserve">Fast enough to repeat. The delta between runs is more interesting than any single run.</t>
  </si>
  <si>
    <t xml:space="preserve">The four things you are actually measuring</t>
  </si>
  <si>
    <t xml:space="preserve">Exposure</t>
  </si>
  <si>
    <t xml:space="preserve">Where the system can be reached from. Internet-facing is the harvest-now-decrypt-later population.</t>
  </si>
  <si>
    <t xml:space="preserve">Sensitivity x time</t>
  </si>
  <si>
    <t xml:space="preserve">Classification combined with how long the data must stay confidential. A public website with RSA everywhere matters less than a ten-year-retention records store.</t>
  </si>
  <si>
    <t xml:space="preserve">Algorithm posture</t>
  </si>
  <si>
    <t xml:space="preserve">Only three buckets at this stage: does it use public-key crypto (RSA/ECC), is there anything already broken (3DES, SHA-1, MD5, RC4, TLS below 1.2), or is it symmetric-only. That is enough to rank.</t>
  </si>
  <si>
    <t xml:space="preserve">Ease of change</t>
  </si>
  <si>
    <t xml:space="preserve">Config toggle / library upgrade / code change / vendor release / replace the product. This is the field that decides sequencing, because a vendor-release or replace-the-box answer needs a lead time you have to start buying today.</t>
  </si>
  <si>
    <t xml:space="preserve">Conventions</t>
  </si>
  <si>
    <t xml:space="preserve">Blue cells</t>
  </si>
  <si>
    <t xml:space="preserve">You fill these in. Yellow fill marks the twelve core questions.</t>
  </si>
  <si>
    <t xml:space="preserve">Grey cells</t>
  </si>
  <si>
    <t xml:space="preserve">Calculated. Weights and thresholds are editable on 02_Model.</t>
  </si>
  <si>
    <t xml:space="preserve">Row 5</t>
  </si>
  <si>
    <t xml:space="preserve">Worked example. Delete before issuing.</t>
  </si>
  <si>
    <t xml:space="preserve">02 — Scoring model and pick lists</t>
  </si>
  <si>
    <t xml:space="preserve">Network exposure</t>
  </si>
  <si>
    <t xml:space="preserve">Weights and thresholds — edit these</t>
  </si>
  <si>
    <t xml:space="preserve">Option</t>
  </si>
  <si>
    <t xml:space="preserve">Score</t>
  </si>
  <si>
    <t xml:space="preserve">Assumption</t>
  </si>
  <si>
    <t xml:space="preserve">Value</t>
  </si>
  <si>
    <t xml:space="preserve">Internet-facing</t>
  </si>
  <si>
    <t xml:space="preserve">w1 — algorithm posture</t>
  </si>
  <si>
    <t xml:space="preserve">Public-key use or already-broken crypto, whichever is worse.</t>
  </si>
  <si>
    <t xml:space="preserve">Partner / extranet</t>
  </si>
  <si>
    <t xml:space="preserve">w2 — network exposure</t>
  </si>
  <si>
    <t xml:space="preserve">Reachability of the system.</t>
  </si>
  <si>
    <t xml:space="preserve">Internal — crosses zones</t>
  </si>
  <si>
    <t xml:space="preserve">w3 — sensitivity x data lifetime</t>
  </si>
  <si>
    <t xml:space="preserve">Average of classification and confidentiality lifetime.</t>
  </si>
  <si>
    <t xml:space="preserve">Internal — single zone</t>
  </si>
  <si>
    <t xml:space="preserve">Total (must be 100%)</t>
  </si>
  <si>
    <t xml:space="preserve">Isolated / offline</t>
  </si>
  <si>
    <t xml:space="preserve">Band 1 threshold (deep dive now)</t>
  </si>
  <si>
    <t xml:space="preserve">Triage score at or above this goes into the full CBOM survey immediately.</t>
  </si>
  <si>
    <t xml:space="preserve">Unknown</t>
  </si>
  <si>
    <t xml:space="preserve">Band 2 threshold (deep dive next)</t>
  </si>
  <si>
    <t xml:space="preserve">Next cycle.</t>
  </si>
  <si>
    <t xml:space="preserve">Highest data classification</t>
  </si>
  <si>
    <t xml:space="preserve">Band 3 threshold (light touch)</t>
  </si>
  <si>
    <t xml:space="preserve">Below this, park and re-check.</t>
  </si>
  <si>
    <t xml:space="preserve">Hard-change threshold</t>
  </si>
  <si>
    <t xml:space="preserve">Change difficulty at or above this means long lead time — start vendor engagement now.</t>
  </si>
  <si>
    <t xml:space="preserve">SECRET or above</t>
  </si>
  <si>
    <t xml:space="preserve">PROTECTED</t>
  </si>
  <si>
    <t xml:space="preserve">OFFICIAL: Sensitive</t>
  </si>
  <si>
    <t xml:space="preserve">OFFICIAL / internal</t>
  </si>
  <si>
    <t xml:space="preserve">Public</t>
  </si>
  <si>
    <t xml:space="preserve">How long must the data stay confidential?</t>
  </si>
  <si>
    <t xml:space="preserve">Under 1 year</t>
  </si>
  <si>
    <t xml:space="preserve">1-3 years</t>
  </si>
  <si>
    <t xml:space="preserve">3-7 years</t>
  </si>
  <si>
    <t xml:space="preserve">7-15 years</t>
  </si>
  <si>
    <t xml:space="preserve">15+ years / indefinite</t>
  </si>
  <si>
    <t xml:space="preserve">Public-key cryptography in use</t>
  </si>
  <si>
    <t xml:space="preserve">RSA only</t>
  </si>
  <si>
    <t xml:space="preserve">ECC only (ECDSA/ECDH)</t>
  </si>
  <si>
    <t xml:space="preserve">Both RSA and ECC</t>
  </si>
  <si>
    <t xml:space="preserve">Symmetric / hashing only</t>
  </si>
  <si>
    <t xml:space="preserve">None — no crypto</t>
  </si>
  <si>
    <t xml:space="preserve">Legacy or broken cryptography present?</t>
  </si>
  <si>
    <t xml:space="preserve">Yes — 3DES, SHA-1, MD5, RC4 or TLS &lt; 1.2 present</t>
  </si>
  <si>
    <t xml:space="preserve">No — none found</t>
  </si>
  <si>
    <t xml:space="preserve">Ease of changing the algorithm</t>
  </si>
  <si>
    <t xml:space="preserve">Configuration change only</t>
  </si>
  <si>
    <t xml:space="preserve">Library / version upgrade</t>
  </si>
  <si>
    <t xml:space="preserve">Code change and release</t>
  </si>
  <si>
    <t xml:space="preserve">Vendor release required</t>
  </si>
  <si>
    <t xml:space="preserve">Replace the product or hardware</t>
  </si>
  <si>
    <t xml:space="preserve">Who else must change with us?</t>
  </si>
  <si>
    <t xml:space="preserve">No one else — we control both ends</t>
  </si>
  <si>
    <t xml:space="preserve">Internal teams only</t>
  </si>
  <si>
    <t xml:space="preserve">External partner must change too</t>
  </si>
  <si>
    <t xml:space="preserve">Public clients / browsers</t>
  </si>
  <si>
    <t xml:space="preserve">Where the cryptography comes from</t>
  </si>
  <si>
    <t xml:space="preserve">In-house application code</t>
  </si>
  <si>
    <t xml:space="preserve">Library in our build</t>
  </si>
  <si>
    <t xml:space="preserve">OS / platform configuration</t>
  </si>
  <si>
    <t xml:space="preserve">Vendor appliance or product</t>
  </si>
  <si>
    <t xml:space="preserve">SaaS — vendor controlled</t>
  </si>
  <si>
    <t xml:space="preserve">Hardware / HSM / device</t>
  </si>
  <si>
    <t xml:space="preserve">Mixed</t>
  </si>
  <si>
    <t xml:space="preserve">Where keys and certificates are held</t>
  </si>
  <si>
    <t xml:space="preserve">Our HSM or cloud KMS</t>
  </si>
  <si>
    <t xml:space="preserve">Our filesystem or config files</t>
  </si>
  <si>
    <t xml:space="preserve">Vendor or SaaS holds them</t>
  </si>
  <si>
    <t xml:space="preserve">Issued by a CA, we hold private keys</t>
  </si>
  <si>
    <t xml:space="preserve">Embedded in device or firmware</t>
  </si>
  <si>
    <t xml:space="preserve">Confidence in this row</t>
  </si>
  <si>
    <t xml:space="preserve">High — verified</t>
  </si>
  <si>
    <t xml:space="preserve">Medium — documented</t>
  </si>
  <si>
    <t xml:space="preserve">Low — self-declared</t>
  </si>
  <si>
    <t xml:space="preserve">01 — Quick-scan: one row per system</t>
  </si>
  <si>
    <t xml:space="preserve">Twelve dropdown questions (yellow). Answer for the WORST case in the system, not the average. 'Unknown' is a valid and useful answer — it scores as moderate risk so gaps stay visible.</t>
  </si>
  <si>
    <t xml:space="preserve">Identify</t>
  </si>
  <si>
    <t xml:space="preserve">Exposure and sensitivity</t>
  </si>
  <si>
    <t xml:space="preserve">Cryptography — high level</t>
  </si>
  <si>
    <t xml:space="preserve">Quality</t>
  </si>
  <si>
    <t xml:space="preserve">CALCULATED</t>
  </si>
  <si>
    <t xml:space="preserve">System ID</t>
  </si>
  <si>
    <t xml:space="preserve">System name</t>
  </si>
  <si>
    <t xml:space="preserve">Owner</t>
  </si>
  <si>
    <t xml:space="preserve">What it does (one line)</t>
  </si>
  <si>
    <t xml:space="preserve">Q1. Network exposure</t>
  </si>
  <si>
    <t xml:space="preserve">Q2. Highest data classification</t>
  </si>
  <si>
    <t xml:space="preserve">Q3. How long must the data stay confidential?</t>
  </si>
  <si>
    <t xml:space="preserve">Q4. Public-key crypto in use</t>
  </si>
  <si>
    <t xml:space="preserve">Q5. Legacy or broken crypto present?</t>
  </si>
  <si>
    <t xml:space="preserve">Q6. Where the crypto comes from</t>
  </si>
  <si>
    <t xml:space="preserve">Q7. Where keys and certs are held</t>
  </si>
  <si>
    <t xml:space="preserve">Q8. Ease of changing the algorithm</t>
  </si>
  <si>
    <t xml:space="preserve">Q9. Who else must change with us?</t>
  </si>
  <si>
    <t xml:space="preserve">Q10. Confidence</t>
  </si>
  <si>
    <t xml:space="preserve">Notes / evidence</t>
  </si>
  <si>
    <t xml:space="preserve">TRIAGE SCORE</t>
  </si>
  <si>
    <t xml:space="preserve">Change difficulty (1-5)</t>
  </si>
  <si>
    <t xml:space="preserve">TRIAGE BAND</t>
  </si>
  <si>
    <t xml:space="preserve">What kind of move</t>
  </si>
  <si>
    <t xml:space="preserve">SYS-001</t>
  </si>
  <si>
    <t xml:space="preserve">Customer Payments Gateway</t>
  </si>
  <si>
    <t xml:space="preserve">Head of Payments</t>
  </si>
  <si>
    <t xml:space="preserve">Card and account payment processing for retail customers</t>
  </si>
  <si>
    <t xml:space="preserve">testssl.sh 2026-09-01; TLS 1.2 with 3DES suite still enabled on the partner VIP</t>
  </si>
  <si>
    <t xml:space="preserve">03 — Triage summary</t>
  </si>
  <si>
    <t xml:space="preserve">A. Scope and coverage</t>
  </si>
  <si>
    <t xml:space="preserve">Systems scanned</t>
  </si>
  <si>
    <t xml:space="preserve">Target 20-30 for a first pass. More than that and the workshop model breaks down.</t>
  </si>
  <si>
    <t xml:space="preserve">Rows with low confidence</t>
  </si>
  <si>
    <t xml:space="preserve">Self-declared answers. Fine for triage; not fine for the roadmap.</t>
  </si>
  <si>
    <t xml:space="preserve">Rows containing at least one Unknown</t>
  </si>
  <si>
    <t xml:space="preserve">Your discovery backlog. Chase these before pass two, not during it.</t>
  </si>
  <si>
    <t xml:space="preserve">B. Triage outcome — who goes into the full CBOM survey</t>
  </si>
  <si>
    <t xml:space="preserve">Systems</t>
  </si>
  <si>
    <t xml:space="preserve">Hard to change</t>
  </si>
  <si>
    <t xml:space="preserve">1 — Deep dive now</t>
  </si>
  <si>
    <t xml:space="preserve">Full CBOM survey this quarter. These are your Wave 1 candidates.</t>
  </si>
  <si>
    <t xml:space="preserve">2 — Deep dive next</t>
  </si>
  <si>
    <t xml:space="preserve">Full CBOM survey next cycle. Start the vendor conversations now if hard to change.</t>
  </si>
  <si>
    <t xml:space="preserve">3 — Light touch</t>
  </si>
  <si>
    <t xml:space="preserve">Confirm the algorithm posture only; no full survey yet.</t>
  </si>
  <si>
    <t xml:space="preserve">4 — Park, re-check next cycle</t>
  </si>
  <si>
    <t xml:space="preserve">Re-run the quick scan next quarter.</t>
  </si>
  <si>
    <t xml:space="preserve">C. Exposure and posture at a glance</t>
  </si>
  <si>
    <t xml:space="preserve">The harvest-now-decrypt-later population. Rank these first regardless of score.</t>
  </si>
  <si>
    <t xml:space="preserve">Migration needs counterparty coordination — longest lead times after vendor products.</t>
  </si>
  <si>
    <t xml:space="preserve">Second-order priority.</t>
  </si>
  <si>
    <t xml:space="preserve">Compensating controls buy time here.</t>
  </si>
  <si>
    <t xml:space="preserve">Low urgency unless data lifetime is very long.</t>
  </si>
  <si>
    <t xml:space="preserve">D. Ease of change — where the lead time is</t>
  </si>
  <si>
    <t xml:space="preserve">Quick wins. Prove the programme here first.</t>
  </si>
  <si>
    <t xml:space="preserve">Fold into normal patching and dependency management.</t>
  </si>
  <si>
    <t xml:space="preserve">You control the timeline; needs engineering capacity, not procurement.</t>
  </si>
  <si>
    <t xml:space="preserve">Start the roadmap conversation now. Lead time is measured in quarters, not sprints.</t>
  </si>
  <si>
    <t xml:space="preserve">Budget cycle item. Cannot be fixed inside a project; needs a capital plan.</t>
  </si>
  <si>
    <t xml:space="preserve">Ask again — this field decides sequencing more than any other.</t>
  </si>
  <si>
    <t xml:space="preserve">E. Legacy crypto — findings that exist regardless of quantum</t>
  </si>
  <si>
    <t xml:space="preserve">Systems with 3DES / SHA-1 / MD5 / RC4 / TLS &lt; 1.2</t>
  </si>
  <si>
    <t xml:space="preserve">These are current audit findings, not future ones. Fixing them is often the cheapest way to fund the PQC programme politically.</t>
  </si>
  <si>
    <t xml:space="preserve">...of which internet-facing</t>
  </si>
  <si>
    <t xml:space="preserve">Report this number separately. It tends to move faster than anything with 'quantum' in the title.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</si>
</sst>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C8A"/>
        <bgColor rgb="FF4472C4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FE4B5"/>
      </patternFill>
    </fill>
    <fill>
      <patternFill patternType="solid">
        <fgColor rgb="FF4472C4"/>
        <bgColor rgb="FF666699"/>
      </patternFill>
    </fill>
    <fill>
      <patternFill patternType="solid">
        <fgColor rgb="FF9E4B00"/>
        <bgColor rgb="FFBF6000"/>
      </patternFill>
    </fill>
    <fill>
      <patternFill patternType="solid">
        <fgColor rgb="FFBF6000"/>
        <bgColor rgb="FFC55A11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5C8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FFE4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4B5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E4B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08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9.5" hidden="false" customHeight="true" outlineLevel="0" collapsed="false">
      <c r="B3" s="2" t="s">
        <v>1</v>
      </c>
      <c r="C3" s="2"/>
    </row>
    <row r="4" customFormat="false" ht="39" hidden="false" customHeight="true" outlineLevel="0" collapsed="false">
      <c r="B4" s="3" t="s">
        <v>2</v>
      </c>
      <c r="C4" s="4" t="s">
        <v>3</v>
      </c>
    </row>
    <row r="5" customFormat="false" ht="25.5" hidden="false" customHeight="true" outlineLevel="0" collapsed="false">
      <c r="B5" s="3" t="s">
        <v>4</v>
      </c>
      <c r="C5" s="4" t="s">
        <v>5</v>
      </c>
    </row>
    <row r="6" customFormat="false" ht="25.5" hidden="false" customHeight="true" outlineLevel="0" collapsed="false">
      <c r="B6" s="3" t="s">
        <v>6</v>
      </c>
      <c r="C6" s="4" t="s">
        <v>7</v>
      </c>
    </row>
    <row r="7" customFormat="false" ht="19.5" hidden="false" customHeight="true" outlineLevel="0" collapsed="false">
      <c r="B7" s="2" t="s">
        <v>8</v>
      </c>
      <c r="C7" s="2"/>
    </row>
    <row r="8" customFormat="false" ht="25.5" hidden="false" customHeight="true" outlineLevel="0" collapsed="false">
      <c r="B8" s="3" t="s">
        <v>9</v>
      </c>
      <c r="C8" s="4" t="s">
        <v>10</v>
      </c>
    </row>
    <row r="9" customFormat="false" ht="25.5" hidden="false" customHeight="true" outlineLevel="0" collapsed="false">
      <c r="B9" s="3" t="s">
        <v>11</v>
      </c>
      <c r="C9" s="4" t="s">
        <v>12</v>
      </c>
    </row>
    <row r="10" customFormat="false" ht="25.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9.5" hidden="false" customHeight="true" outlineLevel="0" collapsed="false">
      <c r="B12" s="2" t="s">
        <v>17</v>
      </c>
      <c r="C12" s="2"/>
    </row>
    <row r="13" customFormat="false" ht="15" hidden="false" customHeight="true" outlineLevel="0" collapsed="false">
      <c r="B13" s="3" t="s">
        <v>18</v>
      </c>
      <c r="C13" s="4" t="s">
        <v>19</v>
      </c>
    </row>
    <row r="14" customFormat="false" ht="25.5" hidden="false" customHeight="true" outlineLevel="0" collapsed="false">
      <c r="B14" s="3" t="s">
        <v>20</v>
      </c>
      <c r="C14" s="4" t="s">
        <v>21</v>
      </c>
    </row>
    <row r="15" customFormat="false" ht="25.5" hidden="false" customHeight="true" outlineLevel="0" collapsed="false">
      <c r="B15" s="3" t="s">
        <v>22</v>
      </c>
      <c r="C15" s="4" t="s">
        <v>23</v>
      </c>
    </row>
    <row r="16" customFormat="false" ht="39" hidden="false" customHeight="true" outlineLevel="0" collapsed="false">
      <c r="B16" s="3" t="s">
        <v>24</v>
      </c>
      <c r="C16" s="4" t="s">
        <v>25</v>
      </c>
    </row>
    <row r="17" customFormat="false" ht="19.5" hidden="false" customHeight="true" outlineLevel="0" collapsed="false">
      <c r="B17" s="2" t="s">
        <v>26</v>
      </c>
      <c r="C17" s="2"/>
    </row>
    <row r="18" customFormat="false" ht="15" hidden="false" customHeight="true" outlineLevel="0" collapsed="false">
      <c r="B18" s="3" t="s">
        <v>27</v>
      </c>
      <c r="C18" s="4" t="s">
        <v>28</v>
      </c>
    </row>
    <row r="19" customFormat="false" ht="15" hidden="false" customHeight="true" outlineLevel="0" collapsed="false">
      <c r="B19" s="3" t="s">
        <v>29</v>
      </c>
      <c r="C19" s="4" t="s">
        <v>30</v>
      </c>
    </row>
    <row r="20" customFormat="false" ht="15" hidden="false" customHeight="true" outlineLevel="0" collapsed="false">
      <c r="B20" s="3" t="s">
        <v>31</v>
      </c>
      <c r="C20" s="4" t="s">
        <v>32</v>
      </c>
    </row>
  </sheetData>
  <mergeCells count="5">
    <mergeCell ref="A1:D1"/>
    <mergeCell ref="B3:C3"/>
    <mergeCell ref="B7:C7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5" t="s">
        <v>34</v>
      </c>
      <c r="E3" s="5" t="s">
        <v>35</v>
      </c>
    </row>
    <row r="4" customFormat="false" ht="15" hidden="false" customHeight="false" outlineLevel="0" collapsed="false">
      <c r="B4" s="6" t="s">
        <v>36</v>
      </c>
      <c r="C4" s="6" t="s">
        <v>37</v>
      </c>
      <c r="E4" s="7" t="s">
        <v>38</v>
      </c>
      <c r="F4" s="7" t="s">
        <v>39</v>
      </c>
    </row>
    <row r="5" customFormat="false" ht="15" hidden="false" customHeight="false" outlineLevel="0" collapsed="false">
      <c r="B5" s="8" t="s">
        <v>40</v>
      </c>
      <c r="C5" s="8" t="n">
        <v>5</v>
      </c>
      <c r="E5" s="8" t="s">
        <v>41</v>
      </c>
      <c r="F5" s="9" t="n">
        <v>0.35</v>
      </c>
      <c r="G5" s="4" t="s">
        <v>42</v>
      </c>
    </row>
    <row r="6" customFormat="false" ht="15" hidden="false" customHeight="false" outlineLevel="0" collapsed="false">
      <c r="B6" s="8" t="s">
        <v>43</v>
      </c>
      <c r="C6" s="8" t="n">
        <v>4</v>
      </c>
      <c r="E6" s="8" t="s">
        <v>44</v>
      </c>
      <c r="F6" s="9" t="n">
        <v>0.25</v>
      </c>
      <c r="G6" s="4" t="s">
        <v>45</v>
      </c>
    </row>
    <row r="7" customFormat="false" ht="15" hidden="false" customHeight="false" outlineLevel="0" collapsed="false">
      <c r="B7" s="8" t="s">
        <v>46</v>
      </c>
      <c r="C7" s="8" t="n">
        <v>3</v>
      </c>
      <c r="E7" s="8" t="s">
        <v>47</v>
      </c>
      <c r="F7" s="9" t="n">
        <v>0.4</v>
      </c>
      <c r="G7" s="4" t="s">
        <v>48</v>
      </c>
    </row>
    <row r="8" customFormat="false" ht="15" hidden="false" customHeight="false" outlineLevel="0" collapsed="false">
      <c r="B8" s="8" t="s">
        <v>49</v>
      </c>
      <c r="C8" s="8" t="n">
        <v>2</v>
      </c>
      <c r="E8" s="5" t="s">
        <v>50</v>
      </c>
      <c r="F8" s="10" t="n">
        <f aca="false">SUM(F5:F7)</f>
        <v>1</v>
      </c>
      <c r="G8" s="5" t="str">
        <f aca="false">IF(ROUND(F8,4)=1,"OK","ERROR — weights must total 100%")</f>
        <v>OK</v>
      </c>
    </row>
    <row r="9" customFormat="false" ht="15" hidden="false" customHeight="false" outlineLevel="0" collapsed="false">
      <c r="B9" s="8" t="s">
        <v>51</v>
      </c>
      <c r="C9" s="8" t="n">
        <v>1</v>
      </c>
      <c r="E9" s="8" t="s">
        <v>52</v>
      </c>
      <c r="F9" s="11" t="n">
        <v>70</v>
      </c>
      <c r="G9" s="4" t="s">
        <v>53</v>
      </c>
    </row>
    <row r="10" customFormat="false" ht="15" hidden="false" customHeight="false" outlineLevel="0" collapsed="false">
      <c r="B10" s="8" t="s">
        <v>54</v>
      </c>
      <c r="C10" s="8" t="n">
        <v>3</v>
      </c>
      <c r="E10" s="8" t="s">
        <v>55</v>
      </c>
      <c r="F10" s="11" t="n">
        <v>50</v>
      </c>
      <c r="G10" s="4" t="s">
        <v>56</v>
      </c>
    </row>
    <row r="11" customFormat="false" ht="15" hidden="false" customHeight="false" outlineLevel="0" collapsed="false">
      <c r="B11" s="5" t="s">
        <v>57</v>
      </c>
      <c r="E11" s="8" t="s">
        <v>58</v>
      </c>
      <c r="F11" s="11" t="n">
        <v>30</v>
      </c>
      <c r="G11" s="4" t="s">
        <v>59</v>
      </c>
    </row>
    <row r="12" customFormat="false" ht="23.85" hidden="false" customHeight="false" outlineLevel="0" collapsed="false">
      <c r="B12" s="6" t="s">
        <v>36</v>
      </c>
      <c r="C12" s="6" t="s">
        <v>37</v>
      </c>
      <c r="E12" s="8" t="s">
        <v>60</v>
      </c>
      <c r="F12" s="11" t="n">
        <v>3.5</v>
      </c>
      <c r="G12" s="4" t="s">
        <v>61</v>
      </c>
    </row>
    <row r="13" customFormat="false" ht="15" hidden="false" customHeight="false" outlineLevel="0" collapsed="false">
      <c r="B13" s="8" t="s">
        <v>62</v>
      </c>
      <c r="C13" s="8" t="n">
        <v>5</v>
      </c>
    </row>
    <row r="14" customFormat="false" ht="15" hidden="false" customHeight="false" outlineLevel="0" collapsed="false">
      <c r="B14" s="8" t="s">
        <v>63</v>
      </c>
      <c r="C14" s="8" t="n">
        <v>4</v>
      </c>
    </row>
    <row r="15" customFormat="false" ht="15" hidden="false" customHeight="false" outlineLevel="0" collapsed="false">
      <c r="B15" s="8" t="s">
        <v>64</v>
      </c>
      <c r="C15" s="8" t="n">
        <v>3</v>
      </c>
    </row>
    <row r="16" customFormat="false" ht="15" hidden="false" customHeight="false" outlineLevel="0" collapsed="false">
      <c r="B16" s="8" t="s">
        <v>65</v>
      </c>
      <c r="C16" s="8" t="n">
        <v>2</v>
      </c>
    </row>
    <row r="17" customFormat="false" ht="15" hidden="false" customHeight="false" outlineLevel="0" collapsed="false">
      <c r="B17" s="8" t="s">
        <v>66</v>
      </c>
      <c r="C17" s="8" t="n">
        <v>1</v>
      </c>
    </row>
    <row r="18" customFormat="false" ht="15" hidden="false" customHeight="false" outlineLevel="0" collapsed="false">
      <c r="B18" s="8" t="s">
        <v>54</v>
      </c>
      <c r="C18" s="8" t="n">
        <v>3</v>
      </c>
    </row>
    <row r="19" customFormat="false" ht="15" hidden="false" customHeight="false" outlineLevel="0" collapsed="false">
      <c r="B19" s="5" t="s">
        <v>67</v>
      </c>
    </row>
    <row r="20" customFormat="false" ht="15" hidden="false" customHeight="false" outlineLevel="0" collapsed="false">
      <c r="B20" s="6" t="s">
        <v>36</v>
      </c>
      <c r="C20" s="6" t="s">
        <v>37</v>
      </c>
    </row>
    <row r="21" customFormat="false" ht="15" hidden="false" customHeight="false" outlineLevel="0" collapsed="false">
      <c r="B21" s="8" t="s">
        <v>68</v>
      </c>
      <c r="C21" s="8" t="n">
        <v>1</v>
      </c>
    </row>
    <row r="22" customFormat="false" ht="15" hidden="false" customHeight="false" outlineLevel="0" collapsed="false">
      <c r="B22" s="8" t="s">
        <v>69</v>
      </c>
      <c r="C22" s="8" t="n">
        <v>2</v>
      </c>
    </row>
    <row r="23" customFormat="false" ht="15" hidden="false" customHeight="false" outlineLevel="0" collapsed="false">
      <c r="B23" s="8" t="s">
        <v>70</v>
      </c>
      <c r="C23" s="8" t="n">
        <v>3</v>
      </c>
    </row>
    <row r="24" customFormat="false" ht="15" hidden="false" customHeight="false" outlineLevel="0" collapsed="false">
      <c r="B24" s="8" t="s">
        <v>71</v>
      </c>
      <c r="C24" s="8" t="n">
        <v>4</v>
      </c>
    </row>
    <row r="25" customFormat="false" ht="15" hidden="false" customHeight="false" outlineLevel="0" collapsed="false">
      <c r="B25" s="8" t="s">
        <v>72</v>
      </c>
      <c r="C25" s="8" t="n">
        <v>5</v>
      </c>
    </row>
    <row r="26" customFormat="false" ht="15" hidden="false" customHeight="false" outlineLevel="0" collapsed="false">
      <c r="B26" s="8" t="s">
        <v>54</v>
      </c>
      <c r="C26" s="8" t="n">
        <v>3</v>
      </c>
    </row>
    <row r="27" customFormat="false" ht="15" hidden="false" customHeight="false" outlineLevel="0" collapsed="false">
      <c r="B27" s="5" t="s">
        <v>73</v>
      </c>
    </row>
    <row r="28" customFormat="false" ht="15" hidden="false" customHeight="false" outlineLevel="0" collapsed="false">
      <c r="B28" s="6" t="s">
        <v>36</v>
      </c>
      <c r="C28" s="6" t="s">
        <v>37</v>
      </c>
    </row>
    <row r="29" customFormat="false" ht="15" hidden="false" customHeight="false" outlineLevel="0" collapsed="false">
      <c r="B29" s="8" t="s">
        <v>74</v>
      </c>
      <c r="C29" s="8" t="n">
        <v>4</v>
      </c>
    </row>
    <row r="30" customFormat="false" ht="15" hidden="false" customHeight="false" outlineLevel="0" collapsed="false">
      <c r="B30" s="8" t="s">
        <v>75</v>
      </c>
      <c r="C30" s="8" t="n">
        <v>4</v>
      </c>
    </row>
    <row r="31" customFormat="false" ht="15" hidden="false" customHeight="false" outlineLevel="0" collapsed="false">
      <c r="B31" s="8" t="s">
        <v>76</v>
      </c>
      <c r="C31" s="8" t="n">
        <v>5</v>
      </c>
    </row>
    <row r="32" customFormat="false" ht="15" hidden="false" customHeight="false" outlineLevel="0" collapsed="false">
      <c r="B32" s="8" t="s">
        <v>77</v>
      </c>
      <c r="C32" s="8" t="n">
        <v>1</v>
      </c>
    </row>
    <row r="33" customFormat="false" ht="15" hidden="false" customHeight="false" outlineLevel="0" collapsed="false">
      <c r="B33" s="8" t="s">
        <v>78</v>
      </c>
      <c r="C33" s="8" t="n">
        <v>0</v>
      </c>
    </row>
    <row r="34" customFormat="false" ht="15" hidden="false" customHeight="false" outlineLevel="0" collapsed="false">
      <c r="B34" s="8" t="s">
        <v>54</v>
      </c>
      <c r="C34" s="8" t="n">
        <v>3</v>
      </c>
    </row>
    <row r="36" customFormat="false" ht="15" hidden="false" customHeight="false" outlineLevel="0" collapsed="false">
      <c r="B36" s="5" t="s">
        <v>79</v>
      </c>
    </row>
    <row r="37" customFormat="false" ht="15" hidden="false" customHeight="false" outlineLevel="0" collapsed="false">
      <c r="B37" s="6" t="s">
        <v>36</v>
      </c>
      <c r="C37" s="6" t="s">
        <v>37</v>
      </c>
    </row>
    <row r="38" customFormat="false" ht="15" hidden="false" customHeight="false" outlineLevel="0" collapsed="false">
      <c r="B38" s="8" t="s">
        <v>80</v>
      </c>
      <c r="C38" s="8" t="n">
        <v>5</v>
      </c>
    </row>
    <row r="39" customFormat="false" ht="15" hidden="false" customHeight="false" outlineLevel="0" collapsed="false">
      <c r="B39" s="8" t="s">
        <v>81</v>
      </c>
      <c r="C39" s="8" t="n">
        <v>0</v>
      </c>
    </row>
    <row r="40" customFormat="false" ht="15" hidden="false" customHeight="false" outlineLevel="0" collapsed="false">
      <c r="B40" s="8" t="s">
        <v>54</v>
      </c>
      <c r="C40" s="8" t="n">
        <v>2</v>
      </c>
    </row>
    <row r="42" customFormat="false" ht="15" hidden="false" customHeight="false" outlineLevel="0" collapsed="false">
      <c r="B42" s="5" t="s">
        <v>82</v>
      </c>
    </row>
    <row r="43" customFormat="false" ht="15" hidden="false" customHeight="false" outlineLevel="0" collapsed="false">
      <c r="B43" s="6" t="s">
        <v>36</v>
      </c>
      <c r="C43" s="6" t="s">
        <v>37</v>
      </c>
    </row>
    <row r="44" customFormat="false" ht="15" hidden="false" customHeight="false" outlineLevel="0" collapsed="false">
      <c r="B44" s="8" t="s">
        <v>83</v>
      </c>
      <c r="C44" s="8" t="n">
        <v>1</v>
      </c>
    </row>
    <row r="45" customFormat="false" ht="15" hidden="false" customHeight="false" outlineLevel="0" collapsed="false">
      <c r="B45" s="8" t="s">
        <v>84</v>
      </c>
      <c r="C45" s="8" t="n">
        <v>2</v>
      </c>
    </row>
    <row r="46" customFormat="false" ht="15" hidden="false" customHeight="false" outlineLevel="0" collapsed="false">
      <c r="B46" s="8" t="s">
        <v>85</v>
      </c>
      <c r="C46" s="8" t="n">
        <v>3</v>
      </c>
    </row>
    <row r="47" customFormat="false" ht="15" hidden="false" customHeight="false" outlineLevel="0" collapsed="false">
      <c r="B47" s="8" t="s">
        <v>86</v>
      </c>
      <c r="C47" s="8" t="n">
        <v>4</v>
      </c>
    </row>
    <row r="48" customFormat="false" ht="15" hidden="false" customHeight="false" outlineLevel="0" collapsed="false">
      <c r="B48" s="8" t="s">
        <v>87</v>
      </c>
      <c r="C48" s="8" t="n">
        <v>5</v>
      </c>
    </row>
    <row r="49" customFormat="false" ht="15" hidden="false" customHeight="false" outlineLevel="0" collapsed="false">
      <c r="B49" s="8" t="s">
        <v>54</v>
      </c>
      <c r="C49" s="8" t="n">
        <v>3</v>
      </c>
    </row>
    <row r="51" customFormat="false" ht="15" hidden="false" customHeight="false" outlineLevel="0" collapsed="false">
      <c r="B51" s="5" t="s">
        <v>88</v>
      </c>
    </row>
    <row r="52" customFormat="false" ht="15" hidden="false" customHeight="false" outlineLevel="0" collapsed="false">
      <c r="B52" s="6" t="s">
        <v>36</v>
      </c>
      <c r="C52" s="6" t="s">
        <v>37</v>
      </c>
    </row>
    <row r="53" customFormat="false" ht="15" hidden="false" customHeight="false" outlineLevel="0" collapsed="false">
      <c r="B53" s="8" t="s">
        <v>89</v>
      </c>
      <c r="C53" s="8" t="n">
        <v>0</v>
      </c>
    </row>
    <row r="54" customFormat="false" ht="15" hidden="false" customHeight="false" outlineLevel="0" collapsed="false">
      <c r="B54" s="8" t="s">
        <v>90</v>
      </c>
      <c r="C54" s="8" t="n">
        <v>0.5</v>
      </c>
    </row>
    <row r="55" customFormat="false" ht="15" hidden="false" customHeight="false" outlineLevel="0" collapsed="false">
      <c r="B55" s="8" t="s">
        <v>91</v>
      </c>
      <c r="C55" s="8" t="n">
        <v>1</v>
      </c>
    </row>
    <row r="56" customFormat="false" ht="15" hidden="false" customHeight="false" outlineLevel="0" collapsed="false">
      <c r="B56" s="8" t="s">
        <v>92</v>
      </c>
      <c r="C56" s="8" t="n">
        <v>1</v>
      </c>
    </row>
    <row r="57" customFormat="false" ht="15" hidden="false" customHeight="false" outlineLevel="0" collapsed="false">
      <c r="B57" s="8" t="s">
        <v>54</v>
      </c>
      <c r="C57" s="8" t="n">
        <v>0.5</v>
      </c>
    </row>
    <row r="59" customFormat="false" ht="15" hidden="false" customHeight="false" outlineLevel="0" collapsed="false">
      <c r="B59" s="5" t="s">
        <v>93</v>
      </c>
    </row>
    <row r="60" customFormat="false" ht="15" hidden="false" customHeight="false" outlineLevel="0" collapsed="false">
      <c r="B60" s="6" t="s">
        <v>36</v>
      </c>
      <c r="C60" s="6" t="s">
        <v>37</v>
      </c>
    </row>
    <row r="61" customFormat="false" ht="15" hidden="false" customHeight="false" outlineLevel="0" collapsed="false">
      <c r="B61" s="8" t="s">
        <v>94</v>
      </c>
      <c r="C61" s="8" t="n">
        <v>0</v>
      </c>
    </row>
    <row r="62" customFormat="false" ht="15" hidden="false" customHeight="false" outlineLevel="0" collapsed="false">
      <c r="B62" s="8" t="s">
        <v>95</v>
      </c>
      <c r="C62" s="8" t="n">
        <v>0</v>
      </c>
    </row>
    <row r="63" customFormat="false" ht="15" hidden="false" customHeight="false" outlineLevel="0" collapsed="false">
      <c r="B63" s="8" t="s">
        <v>96</v>
      </c>
      <c r="C63" s="8" t="n">
        <v>0</v>
      </c>
    </row>
    <row r="64" customFormat="false" ht="15" hidden="false" customHeight="false" outlineLevel="0" collapsed="false">
      <c r="B64" s="8" t="s">
        <v>97</v>
      </c>
      <c r="C64" s="8" t="n">
        <v>0</v>
      </c>
    </row>
    <row r="65" customFormat="false" ht="15" hidden="false" customHeight="false" outlineLevel="0" collapsed="false">
      <c r="B65" s="8" t="s">
        <v>98</v>
      </c>
      <c r="C65" s="8" t="n">
        <v>0</v>
      </c>
    </row>
    <row r="66" customFormat="false" ht="15" hidden="false" customHeight="false" outlineLevel="0" collapsed="false">
      <c r="B66" s="8" t="s">
        <v>99</v>
      </c>
      <c r="C66" s="8" t="n">
        <v>0</v>
      </c>
    </row>
    <row r="67" customFormat="false" ht="15" hidden="false" customHeight="false" outlineLevel="0" collapsed="false">
      <c r="B67" s="8" t="s">
        <v>100</v>
      </c>
      <c r="C67" s="8" t="n">
        <v>0</v>
      </c>
    </row>
    <row r="68" customFormat="false" ht="15" hidden="false" customHeight="false" outlineLevel="0" collapsed="false">
      <c r="B68" s="8" t="s">
        <v>54</v>
      </c>
      <c r="C68" s="8" t="n">
        <v>0</v>
      </c>
    </row>
    <row r="70" customFormat="false" ht="15" hidden="false" customHeight="false" outlineLevel="0" collapsed="false">
      <c r="B70" s="5" t="s">
        <v>101</v>
      </c>
    </row>
    <row r="71" customFormat="false" ht="15" hidden="false" customHeight="false" outlineLevel="0" collapsed="false">
      <c r="B71" s="6" t="s">
        <v>36</v>
      </c>
      <c r="C71" s="6" t="s">
        <v>37</v>
      </c>
    </row>
    <row r="72" customFormat="false" ht="15" hidden="false" customHeight="false" outlineLevel="0" collapsed="false">
      <c r="B72" s="8" t="s">
        <v>102</v>
      </c>
      <c r="C72" s="8" t="n">
        <v>0</v>
      </c>
    </row>
    <row r="73" customFormat="false" ht="15" hidden="false" customHeight="false" outlineLevel="0" collapsed="false">
      <c r="B73" s="8" t="s">
        <v>103</v>
      </c>
      <c r="C73" s="8" t="n">
        <v>0</v>
      </c>
    </row>
    <row r="74" customFormat="false" ht="15" hidden="false" customHeight="false" outlineLevel="0" collapsed="false">
      <c r="B74" s="8" t="s">
        <v>104</v>
      </c>
      <c r="C74" s="8" t="n">
        <v>0</v>
      </c>
    </row>
    <row r="75" customFormat="false" ht="15" hidden="false" customHeight="false" outlineLevel="0" collapsed="false">
      <c r="B75" s="8" t="s">
        <v>105</v>
      </c>
      <c r="C75" s="8" t="n">
        <v>0</v>
      </c>
    </row>
    <row r="76" customFormat="false" ht="15" hidden="false" customHeight="false" outlineLevel="0" collapsed="false">
      <c r="B76" s="8" t="s">
        <v>106</v>
      </c>
      <c r="C76" s="8" t="n">
        <v>0</v>
      </c>
    </row>
    <row r="77" customFormat="false" ht="15" hidden="false" customHeight="false" outlineLevel="0" collapsed="false">
      <c r="B77" s="8" t="s">
        <v>54</v>
      </c>
      <c r="C77" s="8" t="n">
        <v>0</v>
      </c>
    </row>
    <row r="79" customFormat="false" ht="15" hidden="false" customHeight="false" outlineLevel="0" collapsed="false">
      <c r="B79" s="5" t="s">
        <v>107</v>
      </c>
    </row>
    <row r="80" customFormat="false" ht="15" hidden="false" customHeight="false" outlineLevel="0" collapsed="false">
      <c r="B80" s="6" t="s">
        <v>36</v>
      </c>
      <c r="C80" s="6" t="s">
        <v>37</v>
      </c>
    </row>
    <row r="81" customFormat="false" ht="15" hidden="false" customHeight="false" outlineLevel="0" collapsed="false">
      <c r="B81" s="8" t="s">
        <v>108</v>
      </c>
      <c r="C81" s="8" t="n">
        <v>0</v>
      </c>
    </row>
    <row r="82" customFormat="false" ht="15" hidden="false" customHeight="false" outlineLevel="0" collapsed="false">
      <c r="B82" s="8" t="s">
        <v>109</v>
      </c>
      <c r="C82" s="8" t="n">
        <v>0</v>
      </c>
    </row>
    <row r="83" customFormat="false" ht="15" hidden="false" customHeight="false" outlineLevel="0" collapsed="false">
      <c r="B83" s="8" t="s">
        <v>110</v>
      </c>
      <c r="C83" s="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8" min="5" style="0" width="24"/>
    <col collapsed="false" customWidth="true" hidden="false" outlineLevel="0" max="9" min="9" style="0" width="28"/>
    <col collapsed="false" customWidth="true" hidden="false" outlineLevel="0" max="11" min="10" style="0" width="26"/>
    <col collapsed="false" customWidth="true" hidden="false" outlineLevel="0" max="12" min="12" style="0" width="28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4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24"/>
    <col collapsed="false" customWidth="true" hidden="false" outlineLevel="0" max="22" min="22" style="0" width="40"/>
  </cols>
  <sheetData>
    <row r="1" customFormat="false" ht="27.7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2" t="s">
        <v>112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customFormat="false" ht="19.5" hidden="false" customHeight="true" outlineLevel="0" collapsed="false">
      <c r="A3" s="13" t="s">
        <v>113</v>
      </c>
      <c r="B3" s="13"/>
      <c r="C3" s="13"/>
      <c r="D3" s="13"/>
      <c r="E3" s="14" t="s">
        <v>114</v>
      </c>
      <c r="F3" s="14"/>
      <c r="G3" s="14"/>
      <c r="H3" s="15" t="s">
        <v>115</v>
      </c>
      <c r="I3" s="15"/>
      <c r="J3" s="15"/>
      <c r="K3" s="15"/>
      <c r="L3" s="16" t="s">
        <v>24</v>
      </c>
      <c r="M3" s="16"/>
      <c r="N3" s="17" t="s">
        <v>116</v>
      </c>
      <c r="O3" s="17"/>
      <c r="P3" s="18" t="s">
        <v>117</v>
      </c>
      <c r="Q3" s="18"/>
      <c r="R3" s="18"/>
      <c r="S3" s="18"/>
      <c r="T3" s="18"/>
      <c r="U3" s="18"/>
      <c r="V3" s="18"/>
    </row>
    <row r="4" customFormat="false" ht="55.5" hidden="false" customHeight="true" outlineLevel="0" collapsed="false">
      <c r="A4" s="6" t="s">
        <v>118</v>
      </c>
      <c r="B4" s="6" t="s">
        <v>119</v>
      </c>
      <c r="C4" s="6" t="s">
        <v>120</v>
      </c>
      <c r="D4" s="6" t="s">
        <v>121</v>
      </c>
      <c r="E4" s="6" t="s">
        <v>122</v>
      </c>
      <c r="F4" s="6" t="s">
        <v>123</v>
      </c>
      <c r="G4" s="6" t="s">
        <v>124</v>
      </c>
      <c r="H4" s="6" t="s">
        <v>125</v>
      </c>
      <c r="I4" s="6" t="s">
        <v>126</v>
      </c>
      <c r="J4" s="6" t="s">
        <v>127</v>
      </c>
      <c r="K4" s="6" t="s">
        <v>128</v>
      </c>
      <c r="L4" s="6" t="s">
        <v>129</v>
      </c>
      <c r="M4" s="6" t="s">
        <v>130</v>
      </c>
      <c r="N4" s="6" t="s">
        <v>131</v>
      </c>
      <c r="O4" s="6" t="s">
        <v>132</v>
      </c>
      <c r="P4" s="19" t="s">
        <v>22</v>
      </c>
      <c r="Q4" s="19" t="s">
        <v>18</v>
      </c>
      <c r="R4" s="19" t="s">
        <v>20</v>
      </c>
      <c r="S4" s="19" t="s">
        <v>133</v>
      </c>
      <c r="T4" s="19" t="s">
        <v>134</v>
      </c>
      <c r="U4" s="19" t="s">
        <v>135</v>
      </c>
      <c r="V4" s="19" t="s">
        <v>136</v>
      </c>
    </row>
    <row r="5" customFormat="false" ht="23.85" hidden="false" customHeight="false" outlineLevel="0" collapsed="false">
      <c r="A5" s="20" t="s">
        <v>137</v>
      </c>
      <c r="B5" s="20" t="s">
        <v>138</v>
      </c>
      <c r="C5" s="20" t="s">
        <v>139</v>
      </c>
      <c r="D5" s="20" t="s">
        <v>140</v>
      </c>
      <c r="E5" s="20" t="s">
        <v>40</v>
      </c>
      <c r="F5" s="20" t="s">
        <v>63</v>
      </c>
      <c r="G5" s="20" t="s">
        <v>71</v>
      </c>
      <c r="H5" s="20" t="s">
        <v>76</v>
      </c>
      <c r="I5" s="20" t="s">
        <v>80</v>
      </c>
      <c r="J5" s="20" t="s">
        <v>97</v>
      </c>
      <c r="K5" s="20" t="s">
        <v>102</v>
      </c>
      <c r="L5" s="20" t="s">
        <v>86</v>
      </c>
      <c r="M5" s="20" t="s">
        <v>91</v>
      </c>
      <c r="N5" s="20" t="s">
        <v>108</v>
      </c>
      <c r="O5" s="20" t="s">
        <v>141</v>
      </c>
      <c r="P5" s="21" t="n">
        <f aca="false">IF(AND($H5="",$I5=""),"",MAX(IF($H5="",0,IFERROR(INDEX(02_Model!$C$29:$C$34,MATCH($H5,02_Model!$B$29:$B$34,0)),3)),IF($I5="",0,IFERROR(INDEX(02_Model!$C$38:$C$40,MATCH($I5,02_Model!$B$38:$B$40,0)),2))))</f>
        <v>5</v>
      </c>
      <c r="Q5" s="21" t="n">
        <f aca="false">IF($E5="","",IFERROR(INDEX(02_Model!$C$5:$C$10,MATCH($E5,02_Model!$B$5:$B$10,0)),3))</f>
        <v>5</v>
      </c>
      <c r="R5" s="22" t="n">
        <f aca="false">IF(AND($F5="",$G5=""),"",ROUND((IF($F5="",3,IFERROR(INDEX(02_Model!$C$13:$C$18,MATCH($F5,02_Model!$B$13:$B$18,0)),3))+IF($G5="",3,IFERROR(INDEX(02_Model!$C$21:$C$26,MATCH($G5,02_Model!$B$21:$B$26,0)),3)))/2,1))</f>
        <v>4</v>
      </c>
      <c r="S5" s="21" t="n">
        <f aca="false">IF($B5="","",ROUND(100*(02_Model!$F$5*IF($P5="",3,$P5)/5+02_Model!$F$6*IF($Q5="",3,$Q5)/5+02_Model!$F$7*IF($R5="",3,$R5)/5),0))</f>
        <v>92</v>
      </c>
      <c r="T5" s="22" t="n">
        <f aca="false">IF($L5="","",MIN(5,IFERROR(INDEX(02_Model!$C$44:$C$49,MATCH($L5,02_Model!$B$44:$B$49,0)),3)+IF($M5="",0.5,IFERROR(INDEX(02_Model!$C$53:$C$57,MATCH($M5,02_Model!$B$53:$B$57,0)),0.5))))</f>
        <v>5</v>
      </c>
      <c r="U5" s="23" t="str">
        <f aca="false">IF($S5="","",IF($S5&gt;=02_Model!$F$9,"1 — Deep dive now",IF($S5&gt;=02_Model!$F$10,"2 — Deep dive next",IF($S5&gt;=02_Model!$F$11,"3 — Light touch","4 — Park, re-check next cycle"))))</f>
        <v>1 — Deep dive now</v>
      </c>
      <c r="V5" s="23" t="str">
        <f aca="false">IF(OR($S5="",$T5=""),"",IF($S5&gt;=02_Model!$F$10,IF($T5&gt;=02_Model!$F$12,"Long lead time — start vendor or replacement engagement now","Quick win — config or upgrade, schedule it"),IF($T5&gt;=02_Model!$F$12,"Low priority but hard — bundle with the next refresh","Low priority and easy — sweep in BAU")))</f>
        <v>Long lead time — start vendor or replacement engagement now</v>
      </c>
    </row>
    <row r="6" customFormat="false" ht="15" hidden="false" customHeight="false" outlineLevel="0" collapsed="false">
      <c r="A6" s="24"/>
      <c r="B6" s="24"/>
      <c r="C6" s="25"/>
      <c r="D6" s="25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  <c r="P6" s="21" t="str">
        <f aca="false">IF(AND($H6="",$I6=""),"",MAX(IF($H6="",0,IFERROR(INDEX(02_Model!$C$29:$C$34,MATCH($H6,02_Model!$B$29:$B$34,0)),3)),IF($I6="",0,IFERROR(INDEX(02_Model!$C$38:$C$40,MATCH($I6,02_Model!$B$38:$B$40,0)),2))))</f>
        <v/>
      </c>
      <c r="Q6" s="21" t="str">
        <f aca="false">IF($E6="","",IFERROR(INDEX(02_Model!$C$5:$C$10,MATCH($E6,02_Model!$B$5:$B$10,0)),3))</f>
        <v/>
      </c>
      <c r="R6" s="22" t="str">
        <f aca="false">IF(AND($F6="",$G6=""),"",ROUND((IF($F6="",3,IFERROR(INDEX(02_Model!$C$13:$C$18,MATCH($F6,02_Model!$B$13:$B$18,0)),3))+IF($G6="",3,IFERROR(INDEX(02_Model!$C$21:$C$26,MATCH($G6,02_Model!$B$21:$B$26,0)),3)))/2,1))</f>
        <v/>
      </c>
      <c r="S6" s="21" t="str">
        <f aca="false">IF($B6="","",ROUND(100*(02_Model!$F$5*IF($P6="",3,$P6)/5+02_Model!$F$6*IF($Q6="",3,$Q6)/5+02_Model!$F$7*IF($R6="",3,$R6)/5),0))</f>
        <v/>
      </c>
      <c r="T6" s="22" t="str">
        <f aca="false">IF($L6="","",MIN(5,IFERROR(INDEX(02_Model!$C$44:$C$49,MATCH($L6,02_Model!$B$44:$B$49,0)),3)+IF($M6="",0.5,IFERROR(INDEX(02_Model!$C$53:$C$57,MATCH($M6,02_Model!$B$53:$B$57,0)),0.5))))</f>
        <v/>
      </c>
      <c r="U6" s="23" t="str">
        <f aca="false">IF($S6="","",IF($S6&gt;=02_Model!$F$9,"1 — Deep dive now",IF($S6&gt;=02_Model!$F$10,"2 — Deep dive next",IF($S6&gt;=02_Model!$F$11,"3 — Light touch","4 — Park, re-check next cycle"))))</f>
        <v/>
      </c>
      <c r="V6" s="23" t="str">
        <f aca="false">IF(OR($S6="",$T6=""),"",IF($S6&gt;=02_Model!$F$10,IF($T6&gt;=02_Model!$F$12,"Long lead time — start vendor or replacement engagement now","Quick win — config or upgrade, schedule it"),IF($T6&gt;=02_Model!$F$12,"Low priority but hard — bundle with the next refresh","Low priority and easy — sweep in BAU")))</f>
        <v/>
      </c>
    </row>
    <row r="7" customFormat="false" ht="15" hidden="false" customHeight="false" outlineLevel="0" collapsed="false">
      <c r="A7" s="24"/>
      <c r="B7" s="24"/>
      <c r="C7" s="25"/>
      <c r="D7" s="25"/>
      <c r="E7" s="24"/>
      <c r="F7" s="24"/>
      <c r="G7" s="24"/>
      <c r="H7" s="24"/>
      <c r="I7" s="24"/>
      <c r="J7" s="24"/>
      <c r="K7" s="24"/>
      <c r="L7" s="24"/>
      <c r="M7" s="24"/>
      <c r="N7" s="24"/>
      <c r="O7" s="25"/>
      <c r="P7" s="21" t="str">
        <f aca="false">IF(AND($H7="",$I7=""),"",MAX(IF($H7="",0,IFERROR(INDEX(02_Model!$C$29:$C$34,MATCH($H7,02_Model!$B$29:$B$34,0)),3)),IF($I7="",0,IFERROR(INDEX(02_Model!$C$38:$C$40,MATCH($I7,02_Model!$B$38:$B$40,0)),2))))</f>
        <v/>
      </c>
      <c r="Q7" s="21" t="str">
        <f aca="false">IF($E7="","",IFERROR(INDEX(02_Model!$C$5:$C$10,MATCH($E7,02_Model!$B$5:$B$10,0)),3))</f>
        <v/>
      </c>
      <c r="R7" s="22" t="str">
        <f aca="false">IF(AND($F7="",$G7=""),"",ROUND((IF($F7="",3,IFERROR(INDEX(02_Model!$C$13:$C$18,MATCH($F7,02_Model!$B$13:$B$18,0)),3))+IF($G7="",3,IFERROR(INDEX(02_Model!$C$21:$C$26,MATCH($G7,02_Model!$B$21:$B$26,0)),3)))/2,1))</f>
        <v/>
      </c>
      <c r="S7" s="21" t="str">
        <f aca="false">IF($B7="","",ROUND(100*(02_Model!$F$5*IF($P7="",3,$P7)/5+02_Model!$F$6*IF($Q7="",3,$Q7)/5+02_Model!$F$7*IF($R7="",3,$R7)/5),0))</f>
        <v/>
      </c>
      <c r="T7" s="22" t="str">
        <f aca="false">IF($L7="","",MIN(5,IFERROR(INDEX(02_Model!$C$44:$C$49,MATCH($L7,02_Model!$B$44:$B$49,0)),3)+IF($M7="",0.5,IFERROR(INDEX(02_Model!$C$53:$C$57,MATCH($M7,02_Model!$B$53:$B$57,0)),0.5))))</f>
        <v/>
      </c>
      <c r="U7" s="23" t="str">
        <f aca="false">IF($S7="","",IF($S7&gt;=02_Model!$F$9,"1 — Deep dive now",IF($S7&gt;=02_Model!$F$10,"2 — Deep dive next",IF($S7&gt;=02_Model!$F$11,"3 — Light touch","4 — Park, re-check next cycle"))))</f>
        <v/>
      </c>
      <c r="V7" s="23" t="str">
        <f aca="false">IF(OR($S7="",$T7=""),"",IF($S7&gt;=02_Model!$F$10,IF($T7&gt;=02_Model!$F$12,"Long lead time — start vendor or replacement engagement now","Quick win — config or upgrade, schedule it"),IF($T7&gt;=02_Model!$F$12,"Low priority but hard — bundle with the next refresh","Low priority and easy — sweep in BAU")))</f>
        <v/>
      </c>
    </row>
    <row r="8" customFormat="false" ht="15" hidden="false" customHeight="false" outlineLevel="0" collapsed="false">
      <c r="A8" s="24"/>
      <c r="B8" s="24"/>
      <c r="C8" s="25"/>
      <c r="D8" s="25"/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  <c r="P8" s="21" t="str">
        <f aca="false">IF(AND($H8="",$I8=""),"",MAX(IF($H8="",0,IFERROR(INDEX(02_Model!$C$29:$C$34,MATCH($H8,02_Model!$B$29:$B$34,0)),3)),IF($I8="",0,IFERROR(INDEX(02_Model!$C$38:$C$40,MATCH($I8,02_Model!$B$38:$B$40,0)),2))))</f>
        <v/>
      </c>
      <c r="Q8" s="21" t="str">
        <f aca="false">IF($E8="","",IFERROR(INDEX(02_Model!$C$5:$C$10,MATCH($E8,02_Model!$B$5:$B$10,0)),3))</f>
        <v/>
      </c>
      <c r="R8" s="22" t="str">
        <f aca="false">IF(AND($F8="",$G8=""),"",ROUND((IF($F8="",3,IFERROR(INDEX(02_Model!$C$13:$C$18,MATCH($F8,02_Model!$B$13:$B$18,0)),3))+IF($G8="",3,IFERROR(INDEX(02_Model!$C$21:$C$26,MATCH($G8,02_Model!$B$21:$B$26,0)),3)))/2,1))</f>
        <v/>
      </c>
      <c r="S8" s="21" t="str">
        <f aca="false">IF($B8="","",ROUND(100*(02_Model!$F$5*IF($P8="",3,$P8)/5+02_Model!$F$6*IF($Q8="",3,$Q8)/5+02_Model!$F$7*IF($R8="",3,$R8)/5),0))</f>
        <v/>
      </c>
      <c r="T8" s="22" t="str">
        <f aca="false">IF($L8="","",MIN(5,IFERROR(INDEX(02_Model!$C$44:$C$49,MATCH($L8,02_Model!$B$44:$B$49,0)),3)+IF($M8="",0.5,IFERROR(INDEX(02_Model!$C$53:$C$57,MATCH($M8,02_Model!$B$53:$B$57,0)),0.5))))</f>
        <v/>
      </c>
      <c r="U8" s="23" t="str">
        <f aca="false">IF($S8="","",IF($S8&gt;=02_Model!$F$9,"1 — Deep dive now",IF($S8&gt;=02_Model!$F$10,"2 — Deep dive next",IF($S8&gt;=02_Model!$F$11,"3 — Light touch","4 — Park, re-check next cycle"))))</f>
        <v/>
      </c>
      <c r="V8" s="23" t="str">
        <f aca="false">IF(OR($S8="",$T8=""),"",IF($S8&gt;=02_Model!$F$10,IF($T8&gt;=02_Model!$F$12,"Long lead time — start vendor or replacement engagement now","Quick win — config or upgrade, schedule it"),IF($T8&gt;=02_Model!$F$12,"Low priority but hard — bundle with the next refresh","Low priority and easy — sweep in BAU")))</f>
        <v/>
      </c>
    </row>
    <row r="9" customFormat="false" ht="15" hidden="false" customHeight="false" outlineLevel="0" collapsed="false">
      <c r="A9" s="24"/>
      <c r="B9" s="24"/>
      <c r="C9" s="25"/>
      <c r="D9" s="25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1" t="str">
        <f aca="false">IF(AND($H9="",$I9=""),"",MAX(IF($H9="",0,IFERROR(INDEX(02_Model!$C$29:$C$34,MATCH($H9,02_Model!$B$29:$B$34,0)),3)),IF($I9="",0,IFERROR(INDEX(02_Model!$C$38:$C$40,MATCH($I9,02_Model!$B$38:$B$40,0)),2))))</f>
        <v/>
      </c>
      <c r="Q9" s="21" t="str">
        <f aca="false">IF($E9="","",IFERROR(INDEX(02_Model!$C$5:$C$10,MATCH($E9,02_Model!$B$5:$B$10,0)),3))</f>
        <v/>
      </c>
      <c r="R9" s="22" t="str">
        <f aca="false">IF(AND($F9="",$G9=""),"",ROUND((IF($F9="",3,IFERROR(INDEX(02_Model!$C$13:$C$18,MATCH($F9,02_Model!$B$13:$B$18,0)),3))+IF($G9="",3,IFERROR(INDEX(02_Model!$C$21:$C$26,MATCH($G9,02_Model!$B$21:$B$26,0)),3)))/2,1))</f>
        <v/>
      </c>
      <c r="S9" s="21" t="str">
        <f aca="false">IF($B9="","",ROUND(100*(02_Model!$F$5*IF($P9="",3,$P9)/5+02_Model!$F$6*IF($Q9="",3,$Q9)/5+02_Model!$F$7*IF($R9="",3,$R9)/5),0))</f>
        <v/>
      </c>
      <c r="T9" s="22" t="str">
        <f aca="false">IF($L9="","",MIN(5,IFERROR(INDEX(02_Model!$C$44:$C$49,MATCH($L9,02_Model!$B$44:$B$49,0)),3)+IF($M9="",0.5,IFERROR(INDEX(02_Model!$C$53:$C$57,MATCH($M9,02_Model!$B$53:$B$57,0)),0.5))))</f>
        <v/>
      </c>
      <c r="U9" s="23" t="str">
        <f aca="false">IF($S9="","",IF($S9&gt;=02_Model!$F$9,"1 — Deep dive now",IF($S9&gt;=02_Model!$F$10,"2 — Deep dive next",IF($S9&gt;=02_Model!$F$11,"3 — Light touch","4 — Park, re-check next cycle"))))</f>
        <v/>
      </c>
      <c r="V9" s="23" t="str">
        <f aca="false">IF(OR($S9="",$T9=""),"",IF($S9&gt;=02_Model!$F$10,IF($T9&gt;=02_Model!$F$12,"Long lead time — start vendor or replacement engagement now","Quick win — config or upgrade, schedule it"),IF($T9&gt;=02_Model!$F$12,"Low priority but hard — bundle with the next refresh","Low priority and easy — sweep in BAU")))</f>
        <v/>
      </c>
    </row>
    <row r="10" customFormat="false" ht="15" hidden="false" customHeight="false" outlineLevel="0" collapsed="false">
      <c r="A10" s="24"/>
      <c r="B10" s="24"/>
      <c r="C10" s="25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21" t="str">
        <f aca="false">IF(AND($H10="",$I10=""),"",MAX(IF($H10="",0,IFERROR(INDEX(02_Model!$C$29:$C$34,MATCH($H10,02_Model!$B$29:$B$34,0)),3)),IF($I10="",0,IFERROR(INDEX(02_Model!$C$38:$C$40,MATCH($I10,02_Model!$B$38:$B$40,0)),2))))</f>
        <v/>
      </c>
      <c r="Q10" s="21" t="str">
        <f aca="false">IF($E10="","",IFERROR(INDEX(02_Model!$C$5:$C$10,MATCH($E10,02_Model!$B$5:$B$10,0)),3))</f>
        <v/>
      </c>
      <c r="R10" s="22" t="str">
        <f aca="false">IF(AND($F10="",$G10=""),"",ROUND((IF($F10="",3,IFERROR(INDEX(02_Model!$C$13:$C$18,MATCH($F10,02_Model!$B$13:$B$18,0)),3))+IF($G10="",3,IFERROR(INDEX(02_Model!$C$21:$C$26,MATCH($G10,02_Model!$B$21:$B$26,0)),3)))/2,1))</f>
        <v/>
      </c>
      <c r="S10" s="21" t="str">
        <f aca="false">IF($B10="","",ROUND(100*(02_Model!$F$5*IF($P10="",3,$P10)/5+02_Model!$F$6*IF($Q10="",3,$Q10)/5+02_Model!$F$7*IF($R10="",3,$R10)/5),0))</f>
        <v/>
      </c>
      <c r="T10" s="22" t="str">
        <f aca="false">IF($L10="","",MIN(5,IFERROR(INDEX(02_Model!$C$44:$C$49,MATCH($L10,02_Model!$B$44:$B$49,0)),3)+IF($M10="",0.5,IFERROR(INDEX(02_Model!$C$53:$C$57,MATCH($M10,02_Model!$B$53:$B$57,0)),0.5))))</f>
        <v/>
      </c>
      <c r="U10" s="23" t="str">
        <f aca="false">IF($S10="","",IF($S10&gt;=02_Model!$F$9,"1 — Deep dive now",IF($S10&gt;=02_Model!$F$10,"2 — Deep dive next",IF($S10&gt;=02_Model!$F$11,"3 — Light touch","4 — Park, re-check next cycle"))))</f>
        <v/>
      </c>
      <c r="V10" s="23" t="str">
        <f aca="false">IF(OR($S10="",$T10=""),"",IF($S10&gt;=02_Model!$F$10,IF($T10&gt;=02_Model!$F$12,"Long lead time — start vendor or replacement engagement now","Quick win — config or upgrade, schedule it"),IF($T10&gt;=02_Model!$F$12,"Low priority but hard — bundle with the next refresh","Low priority and easy — sweep in BAU")))</f>
        <v/>
      </c>
    </row>
    <row r="11" customFormat="false" ht="15" hidden="false" customHeight="false" outlineLevel="0" collapsed="false">
      <c r="A11" s="24"/>
      <c r="B11" s="24"/>
      <c r="C11" s="25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1" t="str">
        <f aca="false">IF(AND($H11="",$I11=""),"",MAX(IF($H11="",0,IFERROR(INDEX(02_Model!$C$29:$C$34,MATCH($H11,02_Model!$B$29:$B$34,0)),3)),IF($I11="",0,IFERROR(INDEX(02_Model!$C$38:$C$40,MATCH($I11,02_Model!$B$38:$B$40,0)),2))))</f>
        <v/>
      </c>
      <c r="Q11" s="21" t="str">
        <f aca="false">IF($E11="","",IFERROR(INDEX(02_Model!$C$5:$C$10,MATCH($E11,02_Model!$B$5:$B$10,0)),3))</f>
        <v/>
      </c>
      <c r="R11" s="22" t="str">
        <f aca="false">IF(AND($F11="",$G11=""),"",ROUND((IF($F11="",3,IFERROR(INDEX(02_Model!$C$13:$C$18,MATCH($F11,02_Model!$B$13:$B$18,0)),3))+IF($G11="",3,IFERROR(INDEX(02_Model!$C$21:$C$26,MATCH($G11,02_Model!$B$21:$B$26,0)),3)))/2,1))</f>
        <v/>
      </c>
      <c r="S11" s="21" t="str">
        <f aca="false">IF($B11="","",ROUND(100*(02_Model!$F$5*IF($P11="",3,$P11)/5+02_Model!$F$6*IF($Q11="",3,$Q11)/5+02_Model!$F$7*IF($R11="",3,$R11)/5),0))</f>
        <v/>
      </c>
      <c r="T11" s="22" t="str">
        <f aca="false">IF($L11="","",MIN(5,IFERROR(INDEX(02_Model!$C$44:$C$49,MATCH($L11,02_Model!$B$44:$B$49,0)),3)+IF($M11="",0.5,IFERROR(INDEX(02_Model!$C$53:$C$57,MATCH($M11,02_Model!$B$53:$B$57,0)),0.5))))</f>
        <v/>
      </c>
      <c r="U11" s="23" t="str">
        <f aca="false">IF($S11="","",IF($S11&gt;=02_Model!$F$9,"1 — Deep dive now",IF($S11&gt;=02_Model!$F$10,"2 — Deep dive next",IF($S11&gt;=02_Model!$F$11,"3 — Light touch","4 — Park, re-check next cycle"))))</f>
        <v/>
      </c>
      <c r="V11" s="23" t="str">
        <f aca="false">IF(OR($S11="",$T11=""),"",IF($S11&gt;=02_Model!$F$10,IF($T11&gt;=02_Model!$F$12,"Long lead time — start vendor or replacement engagement now","Quick win — config or upgrade, schedule it"),IF($T11&gt;=02_Model!$F$12,"Low priority but hard — bundle with the next refresh","Low priority and easy — sweep in BAU")))</f>
        <v/>
      </c>
    </row>
    <row r="12" customFormat="false" ht="15" hidden="false" customHeight="false" outlineLevel="0" collapsed="false">
      <c r="A12" s="24"/>
      <c r="B12" s="24"/>
      <c r="C12" s="25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21" t="str">
        <f aca="false">IF(AND($H12="",$I12=""),"",MAX(IF($H12="",0,IFERROR(INDEX(02_Model!$C$29:$C$34,MATCH($H12,02_Model!$B$29:$B$34,0)),3)),IF($I12="",0,IFERROR(INDEX(02_Model!$C$38:$C$40,MATCH($I12,02_Model!$B$38:$B$40,0)),2))))</f>
        <v/>
      </c>
      <c r="Q12" s="21" t="str">
        <f aca="false">IF($E12="","",IFERROR(INDEX(02_Model!$C$5:$C$10,MATCH($E12,02_Model!$B$5:$B$10,0)),3))</f>
        <v/>
      </c>
      <c r="R12" s="22" t="str">
        <f aca="false">IF(AND($F12="",$G12=""),"",ROUND((IF($F12="",3,IFERROR(INDEX(02_Model!$C$13:$C$18,MATCH($F12,02_Model!$B$13:$B$18,0)),3))+IF($G12="",3,IFERROR(INDEX(02_Model!$C$21:$C$26,MATCH($G12,02_Model!$B$21:$B$26,0)),3)))/2,1))</f>
        <v/>
      </c>
      <c r="S12" s="21" t="str">
        <f aca="false">IF($B12="","",ROUND(100*(02_Model!$F$5*IF($P12="",3,$P12)/5+02_Model!$F$6*IF($Q12="",3,$Q12)/5+02_Model!$F$7*IF($R12="",3,$R12)/5),0))</f>
        <v/>
      </c>
      <c r="T12" s="22" t="str">
        <f aca="false">IF($L12="","",MIN(5,IFERROR(INDEX(02_Model!$C$44:$C$49,MATCH($L12,02_Model!$B$44:$B$49,0)),3)+IF($M12="",0.5,IFERROR(INDEX(02_Model!$C$53:$C$57,MATCH($M12,02_Model!$B$53:$B$57,0)),0.5))))</f>
        <v/>
      </c>
      <c r="U12" s="23" t="str">
        <f aca="false">IF($S12="","",IF($S12&gt;=02_Model!$F$9,"1 — Deep dive now",IF($S12&gt;=02_Model!$F$10,"2 — Deep dive next",IF($S12&gt;=02_Model!$F$11,"3 — Light touch","4 — Park, re-check next cycle"))))</f>
        <v/>
      </c>
      <c r="V12" s="23" t="str">
        <f aca="false">IF(OR($S12="",$T12=""),"",IF($S12&gt;=02_Model!$F$10,IF($T12&gt;=02_Model!$F$12,"Long lead time — start vendor or replacement engagement now","Quick win — config or upgrade, schedule it"),IF($T12&gt;=02_Model!$F$12,"Low priority but hard — bundle with the next refresh","Low priority and easy — sweep in BAU")))</f>
        <v/>
      </c>
    </row>
    <row r="13" customFormat="false" ht="15" hidden="false" customHeight="false" outlineLevel="0" collapsed="false">
      <c r="A13" s="24"/>
      <c r="B13" s="24"/>
      <c r="C13" s="25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21" t="str">
        <f aca="false">IF(AND($H13="",$I13=""),"",MAX(IF($H13="",0,IFERROR(INDEX(02_Model!$C$29:$C$34,MATCH($H13,02_Model!$B$29:$B$34,0)),3)),IF($I13="",0,IFERROR(INDEX(02_Model!$C$38:$C$40,MATCH($I13,02_Model!$B$38:$B$40,0)),2))))</f>
        <v/>
      </c>
      <c r="Q13" s="21" t="str">
        <f aca="false">IF($E13="","",IFERROR(INDEX(02_Model!$C$5:$C$10,MATCH($E13,02_Model!$B$5:$B$10,0)),3))</f>
        <v/>
      </c>
      <c r="R13" s="22" t="str">
        <f aca="false">IF(AND($F13="",$G13=""),"",ROUND((IF($F13="",3,IFERROR(INDEX(02_Model!$C$13:$C$18,MATCH($F13,02_Model!$B$13:$B$18,0)),3))+IF($G13="",3,IFERROR(INDEX(02_Model!$C$21:$C$26,MATCH($G13,02_Model!$B$21:$B$26,0)),3)))/2,1))</f>
        <v/>
      </c>
      <c r="S13" s="21" t="str">
        <f aca="false">IF($B13="","",ROUND(100*(02_Model!$F$5*IF($P13="",3,$P13)/5+02_Model!$F$6*IF($Q13="",3,$Q13)/5+02_Model!$F$7*IF($R13="",3,$R13)/5),0))</f>
        <v/>
      </c>
      <c r="T13" s="22" t="str">
        <f aca="false">IF($L13="","",MIN(5,IFERROR(INDEX(02_Model!$C$44:$C$49,MATCH($L13,02_Model!$B$44:$B$49,0)),3)+IF($M13="",0.5,IFERROR(INDEX(02_Model!$C$53:$C$57,MATCH($M13,02_Model!$B$53:$B$57,0)),0.5))))</f>
        <v/>
      </c>
      <c r="U13" s="23" t="str">
        <f aca="false">IF($S13="","",IF($S13&gt;=02_Model!$F$9,"1 — Deep dive now",IF($S13&gt;=02_Model!$F$10,"2 — Deep dive next",IF($S13&gt;=02_Model!$F$11,"3 — Light touch","4 — Park, re-check next cycle"))))</f>
        <v/>
      </c>
      <c r="V13" s="23" t="str">
        <f aca="false">IF(OR($S13="",$T13=""),"",IF($S13&gt;=02_Model!$F$10,IF($T13&gt;=02_Model!$F$12,"Long lead time — start vendor or replacement engagement now","Quick win — config or upgrade, schedule it"),IF($T13&gt;=02_Model!$F$12,"Low priority but hard — bundle with the next refresh","Low priority and easy — sweep in BAU")))</f>
        <v/>
      </c>
    </row>
    <row r="14" customFormat="false" ht="15" hidden="false" customHeight="false" outlineLevel="0" collapsed="false">
      <c r="A14" s="24"/>
      <c r="B14" s="24"/>
      <c r="C14" s="25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21" t="str">
        <f aca="false">IF(AND($H14="",$I14=""),"",MAX(IF($H14="",0,IFERROR(INDEX(02_Model!$C$29:$C$34,MATCH($H14,02_Model!$B$29:$B$34,0)),3)),IF($I14="",0,IFERROR(INDEX(02_Model!$C$38:$C$40,MATCH($I14,02_Model!$B$38:$B$40,0)),2))))</f>
        <v/>
      </c>
      <c r="Q14" s="21" t="str">
        <f aca="false">IF($E14="","",IFERROR(INDEX(02_Model!$C$5:$C$10,MATCH($E14,02_Model!$B$5:$B$10,0)),3))</f>
        <v/>
      </c>
      <c r="R14" s="22" t="str">
        <f aca="false">IF(AND($F14="",$G14=""),"",ROUND((IF($F14="",3,IFERROR(INDEX(02_Model!$C$13:$C$18,MATCH($F14,02_Model!$B$13:$B$18,0)),3))+IF($G14="",3,IFERROR(INDEX(02_Model!$C$21:$C$26,MATCH($G14,02_Model!$B$21:$B$26,0)),3)))/2,1))</f>
        <v/>
      </c>
      <c r="S14" s="21" t="str">
        <f aca="false">IF($B14="","",ROUND(100*(02_Model!$F$5*IF($P14="",3,$P14)/5+02_Model!$F$6*IF($Q14="",3,$Q14)/5+02_Model!$F$7*IF($R14="",3,$R14)/5),0))</f>
        <v/>
      </c>
      <c r="T14" s="22" t="str">
        <f aca="false">IF($L14="","",MIN(5,IFERROR(INDEX(02_Model!$C$44:$C$49,MATCH($L14,02_Model!$B$44:$B$49,0)),3)+IF($M14="",0.5,IFERROR(INDEX(02_Model!$C$53:$C$57,MATCH($M14,02_Model!$B$53:$B$57,0)),0.5))))</f>
        <v/>
      </c>
      <c r="U14" s="23" t="str">
        <f aca="false">IF($S14="","",IF($S14&gt;=02_Model!$F$9,"1 — Deep dive now",IF($S14&gt;=02_Model!$F$10,"2 — Deep dive next",IF($S14&gt;=02_Model!$F$11,"3 — Light touch","4 — Park, re-check next cycle"))))</f>
        <v/>
      </c>
      <c r="V14" s="23" t="str">
        <f aca="false">IF(OR($S14="",$T14=""),"",IF($S14&gt;=02_Model!$F$10,IF($T14&gt;=02_Model!$F$12,"Long lead time — start vendor or replacement engagement now","Quick win — config or upgrade, schedule it"),IF($T14&gt;=02_Model!$F$12,"Low priority but hard — bundle with the next refresh","Low priority and easy — sweep in BAU")))</f>
        <v/>
      </c>
    </row>
    <row r="15" customFormat="false" ht="15" hidden="false" customHeight="false" outlineLevel="0" collapsed="false">
      <c r="A15" s="24"/>
      <c r="B15" s="24"/>
      <c r="C15" s="25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1" t="str">
        <f aca="false">IF(AND($H15="",$I15=""),"",MAX(IF($H15="",0,IFERROR(INDEX(02_Model!$C$29:$C$34,MATCH($H15,02_Model!$B$29:$B$34,0)),3)),IF($I15="",0,IFERROR(INDEX(02_Model!$C$38:$C$40,MATCH($I15,02_Model!$B$38:$B$40,0)),2))))</f>
        <v/>
      </c>
      <c r="Q15" s="21" t="str">
        <f aca="false">IF($E15="","",IFERROR(INDEX(02_Model!$C$5:$C$10,MATCH($E15,02_Model!$B$5:$B$10,0)),3))</f>
        <v/>
      </c>
      <c r="R15" s="22" t="str">
        <f aca="false">IF(AND($F15="",$G15=""),"",ROUND((IF($F15="",3,IFERROR(INDEX(02_Model!$C$13:$C$18,MATCH($F15,02_Model!$B$13:$B$18,0)),3))+IF($G15="",3,IFERROR(INDEX(02_Model!$C$21:$C$26,MATCH($G15,02_Model!$B$21:$B$26,0)),3)))/2,1))</f>
        <v/>
      </c>
      <c r="S15" s="21" t="str">
        <f aca="false">IF($B15="","",ROUND(100*(02_Model!$F$5*IF($P15="",3,$P15)/5+02_Model!$F$6*IF($Q15="",3,$Q15)/5+02_Model!$F$7*IF($R15="",3,$R15)/5),0))</f>
        <v/>
      </c>
      <c r="T15" s="22" t="str">
        <f aca="false">IF($L15="","",MIN(5,IFERROR(INDEX(02_Model!$C$44:$C$49,MATCH($L15,02_Model!$B$44:$B$49,0)),3)+IF($M15="",0.5,IFERROR(INDEX(02_Model!$C$53:$C$57,MATCH($M15,02_Model!$B$53:$B$57,0)),0.5))))</f>
        <v/>
      </c>
      <c r="U15" s="23" t="str">
        <f aca="false">IF($S15="","",IF($S15&gt;=02_Model!$F$9,"1 — Deep dive now",IF($S15&gt;=02_Model!$F$10,"2 — Deep dive next",IF($S15&gt;=02_Model!$F$11,"3 — Light touch","4 — Park, re-check next cycle"))))</f>
        <v/>
      </c>
      <c r="V15" s="23" t="str">
        <f aca="false">IF(OR($S15="",$T15=""),"",IF($S15&gt;=02_Model!$F$10,IF($T15&gt;=02_Model!$F$12,"Long lead time — start vendor or replacement engagement now","Quick win — config or upgrade, schedule it"),IF($T15&gt;=02_Model!$F$12,"Low priority but hard — bundle with the next refresh","Low priority and easy — sweep in BAU")))</f>
        <v/>
      </c>
    </row>
    <row r="16" customFormat="false" ht="15" hidden="false" customHeight="false" outlineLevel="0" collapsed="false">
      <c r="A16" s="24"/>
      <c r="B16" s="24"/>
      <c r="C16" s="25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1" t="str">
        <f aca="false">IF(AND($H16="",$I16=""),"",MAX(IF($H16="",0,IFERROR(INDEX(02_Model!$C$29:$C$34,MATCH($H16,02_Model!$B$29:$B$34,0)),3)),IF($I16="",0,IFERROR(INDEX(02_Model!$C$38:$C$40,MATCH($I16,02_Model!$B$38:$B$40,0)),2))))</f>
        <v/>
      </c>
      <c r="Q16" s="21" t="str">
        <f aca="false">IF($E16="","",IFERROR(INDEX(02_Model!$C$5:$C$10,MATCH($E16,02_Model!$B$5:$B$10,0)),3))</f>
        <v/>
      </c>
      <c r="R16" s="22" t="str">
        <f aca="false">IF(AND($F16="",$G16=""),"",ROUND((IF($F16="",3,IFERROR(INDEX(02_Model!$C$13:$C$18,MATCH($F16,02_Model!$B$13:$B$18,0)),3))+IF($G16="",3,IFERROR(INDEX(02_Model!$C$21:$C$26,MATCH($G16,02_Model!$B$21:$B$26,0)),3)))/2,1))</f>
        <v/>
      </c>
      <c r="S16" s="21" t="str">
        <f aca="false">IF($B16="","",ROUND(100*(02_Model!$F$5*IF($P16="",3,$P16)/5+02_Model!$F$6*IF($Q16="",3,$Q16)/5+02_Model!$F$7*IF($R16="",3,$R16)/5),0))</f>
        <v/>
      </c>
      <c r="T16" s="22" t="str">
        <f aca="false">IF($L16="","",MIN(5,IFERROR(INDEX(02_Model!$C$44:$C$49,MATCH($L16,02_Model!$B$44:$B$49,0)),3)+IF($M16="",0.5,IFERROR(INDEX(02_Model!$C$53:$C$57,MATCH($M16,02_Model!$B$53:$B$57,0)),0.5))))</f>
        <v/>
      </c>
      <c r="U16" s="23" t="str">
        <f aca="false">IF($S16="","",IF($S16&gt;=02_Model!$F$9,"1 — Deep dive now",IF($S16&gt;=02_Model!$F$10,"2 — Deep dive next",IF($S16&gt;=02_Model!$F$11,"3 — Light touch","4 — Park, re-check next cycle"))))</f>
        <v/>
      </c>
      <c r="V16" s="23" t="str">
        <f aca="false">IF(OR($S16="",$T16=""),"",IF($S16&gt;=02_Model!$F$10,IF($T16&gt;=02_Model!$F$12,"Long lead time — start vendor or replacement engagement now","Quick win — config or upgrade, schedule it"),IF($T16&gt;=02_Model!$F$12,"Low priority but hard — bundle with the next refresh","Low priority and easy — sweep in BAU")))</f>
        <v/>
      </c>
    </row>
    <row r="17" customFormat="false" ht="15" hidden="false" customHeight="false" outlineLevel="0" collapsed="false">
      <c r="A17" s="24"/>
      <c r="B17" s="24"/>
      <c r="C17" s="25"/>
      <c r="D17" s="25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1" t="str">
        <f aca="false">IF(AND($H17="",$I17=""),"",MAX(IF($H17="",0,IFERROR(INDEX(02_Model!$C$29:$C$34,MATCH($H17,02_Model!$B$29:$B$34,0)),3)),IF($I17="",0,IFERROR(INDEX(02_Model!$C$38:$C$40,MATCH($I17,02_Model!$B$38:$B$40,0)),2))))</f>
        <v/>
      </c>
      <c r="Q17" s="21" t="str">
        <f aca="false">IF($E17="","",IFERROR(INDEX(02_Model!$C$5:$C$10,MATCH($E17,02_Model!$B$5:$B$10,0)),3))</f>
        <v/>
      </c>
      <c r="R17" s="22" t="str">
        <f aca="false">IF(AND($F17="",$G17=""),"",ROUND((IF($F17="",3,IFERROR(INDEX(02_Model!$C$13:$C$18,MATCH($F17,02_Model!$B$13:$B$18,0)),3))+IF($G17="",3,IFERROR(INDEX(02_Model!$C$21:$C$26,MATCH($G17,02_Model!$B$21:$B$26,0)),3)))/2,1))</f>
        <v/>
      </c>
      <c r="S17" s="21" t="str">
        <f aca="false">IF($B17="","",ROUND(100*(02_Model!$F$5*IF($P17="",3,$P17)/5+02_Model!$F$6*IF($Q17="",3,$Q17)/5+02_Model!$F$7*IF($R17="",3,$R17)/5),0))</f>
        <v/>
      </c>
      <c r="T17" s="22" t="str">
        <f aca="false">IF($L17="","",MIN(5,IFERROR(INDEX(02_Model!$C$44:$C$49,MATCH($L17,02_Model!$B$44:$B$49,0)),3)+IF($M17="",0.5,IFERROR(INDEX(02_Model!$C$53:$C$57,MATCH($M17,02_Model!$B$53:$B$57,0)),0.5))))</f>
        <v/>
      </c>
      <c r="U17" s="23" t="str">
        <f aca="false">IF($S17="","",IF($S17&gt;=02_Model!$F$9,"1 — Deep dive now",IF($S17&gt;=02_Model!$F$10,"2 — Deep dive next",IF($S17&gt;=02_Model!$F$11,"3 — Light touch","4 — Park, re-check next cycle"))))</f>
        <v/>
      </c>
      <c r="V17" s="23" t="str">
        <f aca="false">IF(OR($S17="",$T17=""),"",IF($S17&gt;=02_Model!$F$10,IF($T17&gt;=02_Model!$F$12,"Long lead time — start vendor or replacement engagement now","Quick win — config or upgrade, schedule it"),IF($T17&gt;=02_Model!$F$12,"Low priority but hard — bundle with the next refresh","Low priority and easy — sweep in BAU")))</f>
        <v/>
      </c>
    </row>
    <row r="18" customFormat="false" ht="15" hidden="false" customHeight="false" outlineLevel="0" collapsed="false">
      <c r="A18" s="24"/>
      <c r="B18" s="24"/>
      <c r="C18" s="25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1" t="str">
        <f aca="false">IF(AND($H18="",$I18=""),"",MAX(IF($H18="",0,IFERROR(INDEX(02_Model!$C$29:$C$34,MATCH($H18,02_Model!$B$29:$B$34,0)),3)),IF($I18="",0,IFERROR(INDEX(02_Model!$C$38:$C$40,MATCH($I18,02_Model!$B$38:$B$40,0)),2))))</f>
        <v/>
      </c>
      <c r="Q18" s="21" t="str">
        <f aca="false">IF($E18="","",IFERROR(INDEX(02_Model!$C$5:$C$10,MATCH($E18,02_Model!$B$5:$B$10,0)),3))</f>
        <v/>
      </c>
      <c r="R18" s="22" t="str">
        <f aca="false">IF(AND($F18="",$G18=""),"",ROUND((IF($F18="",3,IFERROR(INDEX(02_Model!$C$13:$C$18,MATCH($F18,02_Model!$B$13:$B$18,0)),3))+IF($G18="",3,IFERROR(INDEX(02_Model!$C$21:$C$26,MATCH($G18,02_Model!$B$21:$B$26,0)),3)))/2,1))</f>
        <v/>
      </c>
      <c r="S18" s="21" t="str">
        <f aca="false">IF($B18="","",ROUND(100*(02_Model!$F$5*IF($P18="",3,$P18)/5+02_Model!$F$6*IF($Q18="",3,$Q18)/5+02_Model!$F$7*IF($R18="",3,$R18)/5),0))</f>
        <v/>
      </c>
      <c r="T18" s="22" t="str">
        <f aca="false">IF($L18="","",MIN(5,IFERROR(INDEX(02_Model!$C$44:$C$49,MATCH($L18,02_Model!$B$44:$B$49,0)),3)+IF($M18="",0.5,IFERROR(INDEX(02_Model!$C$53:$C$57,MATCH($M18,02_Model!$B$53:$B$57,0)),0.5))))</f>
        <v/>
      </c>
      <c r="U18" s="23" t="str">
        <f aca="false">IF($S18="","",IF($S18&gt;=02_Model!$F$9,"1 — Deep dive now",IF($S18&gt;=02_Model!$F$10,"2 — Deep dive next",IF($S18&gt;=02_Model!$F$11,"3 — Light touch","4 — Park, re-check next cycle"))))</f>
        <v/>
      </c>
      <c r="V18" s="23" t="str">
        <f aca="false">IF(OR($S18="",$T18=""),"",IF($S18&gt;=02_Model!$F$10,IF($T18&gt;=02_Model!$F$12,"Long lead time — start vendor or replacement engagement now","Quick win — config or upgrade, schedule it"),IF($T18&gt;=02_Model!$F$12,"Low priority but hard — bundle with the next refresh","Low priority and easy — sweep in BAU")))</f>
        <v/>
      </c>
    </row>
    <row r="19" customFormat="false" ht="15" hidden="false" customHeight="false" outlineLevel="0" collapsed="false">
      <c r="A19" s="24"/>
      <c r="B19" s="24"/>
      <c r="C19" s="25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1" t="str">
        <f aca="false">IF(AND($H19="",$I19=""),"",MAX(IF($H19="",0,IFERROR(INDEX(02_Model!$C$29:$C$34,MATCH($H19,02_Model!$B$29:$B$34,0)),3)),IF($I19="",0,IFERROR(INDEX(02_Model!$C$38:$C$40,MATCH($I19,02_Model!$B$38:$B$40,0)),2))))</f>
        <v/>
      </c>
      <c r="Q19" s="21" t="str">
        <f aca="false">IF($E19="","",IFERROR(INDEX(02_Model!$C$5:$C$10,MATCH($E19,02_Model!$B$5:$B$10,0)),3))</f>
        <v/>
      </c>
      <c r="R19" s="22" t="str">
        <f aca="false">IF(AND($F19="",$G19=""),"",ROUND((IF($F19="",3,IFERROR(INDEX(02_Model!$C$13:$C$18,MATCH($F19,02_Model!$B$13:$B$18,0)),3))+IF($G19="",3,IFERROR(INDEX(02_Model!$C$21:$C$26,MATCH($G19,02_Model!$B$21:$B$26,0)),3)))/2,1))</f>
        <v/>
      </c>
      <c r="S19" s="21" t="str">
        <f aca="false">IF($B19="","",ROUND(100*(02_Model!$F$5*IF($P19="",3,$P19)/5+02_Model!$F$6*IF($Q19="",3,$Q19)/5+02_Model!$F$7*IF($R19="",3,$R19)/5),0))</f>
        <v/>
      </c>
      <c r="T19" s="22" t="str">
        <f aca="false">IF($L19="","",MIN(5,IFERROR(INDEX(02_Model!$C$44:$C$49,MATCH($L19,02_Model!$B$44:$B$49,0)),3)+IF($M19="",0.5,IFERROR(INDEX(02_Model!$C$53:$C$57,MATCH($M19,02_Model!$B$53:$B$57,0)),0.5))))</f>
        <v/>
      </c>
      <c r="U19" s="23" t="str">
        <f aca="false">IF($S19="","",IF($S19&gt;=02_Model!$F$9,"1 — Deep dive now",IF($S19&gt;=02_Model!$F$10,"2 — Deep dive next",IF($S19&gt;=02_Model!$F$11,"3 — Light touch","4 — Park, re-check next cycle"))))</f>
        <v/>
      </c>
      <c r="V19" s="23" t="str">
        <f aca="false">IF(OR($S19="",$T19=""),"",IF($S19&gt;=02_Model!$F$10,IF($T19&gt;=02_Model!$F$12,"Long lead time — start vendor or replacement engagement now","Quick win — config or upgrade, schedule it"),IF($T19&gt;=02_Model!$F$12,"Low priority but hard — bundle with the next refresh","Low priority and easy — sweep in BAU")))</f>
        <v/>
      </c>
    </row>
    <row r="20" customFormat="false" ht="15" hidden="false" customHeight="false" outlineLevel="0" collapsed="false">
      <c r="A20" s="24"/>
      <c r="B20" s="24"/>
      <c r="C20" s="25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1" t="str">
        <f aca="false">IF(AND($H20="",$I20=""),"",MAX(IF($H20="",0,IFERROR(INDEX(02_Model!$C$29:$C$34,MATCH($H20,02_Model!$B$29:$B$34,0)),3)),IF($I20="",0,IFERROR(INDEX(02_Model!$C$38:$C$40,MATCH($I20,02_Model!$B$38:$B$40,0)),2))))</f>
        <v/>
      </c>
      <c r="Q20" s="21" t="str">
        <f aca="false">IF($E20="","",IFERROR(INDEX(02_Model!$C$5:$C$10,MATCH($E20,02_Model!$B$5:$B$10,0)),3))</f>
        <v/>
      </c>
      <c r="R20" s="22" t="str">
        <f aca="false">IF(AND($F20="",$G20=""),"",ROUND((IF($F20="",3,IFERROR(INDEX(02_Model!$C$13:$C$18,MATCH($F20,02_Model!$B$13:$B$18,0)),3))+IF($G20="",3,IFERROR(INDEX(02_Model!$C$21:$C$26,MATCH($G20,02_Model!$B$21:$B$26,0)),3)))/2,1))</f>
        <v/>
      </c>
      <c r="S20" s="21" t="str">
        <f aca="false">IF($B20="","",ROUND(100*(02_Model!$F$5*IF($P20="",3,$P20)/5+02_Model!$F$6*IF($Q20="",3,$Q20)/5+02_Model!$F$7*IF($R20="",3,$R20)/5),0))</f>
        <v/>
      </c>
      <c r="T20" s="22" t="str">
        <f aca="false">IF($L20="","",MIN(5,IFERROR(INDEX(02_Model!$C$44:$C$49,MATCH($L20,02_Model!$B$44:$B$49,0)),3)+IF($M20="",0.5,IFERROR(INDEX(02_Model!$C$53:$C$57,MATCH($M20,02_Model!$B$53:$B$57,0)),0.5))))</f>
        <v/>
      </c>
      <c r="U20" s="23" t="str">
        <f aca="false">IF($S20="","",IF($S20&gt;=02_Model!$F$9,"1 — Deep dive now",IF($S20&gt;=02_Model!$F$10,"2 — Deep dive next",IF($S20&gt;=02_Model!$F$11,"3 — Light touch","4 — Park, re-check next cycle"))))</f>
        <v/>
      </c>
      <c r="V20" s="23" t="str">
        <f aca="false">IF(OR($S20="",$T20=""),"",IF($S20&gt;=02_Model!$F$10,IF($T20&gt;=02_Model!$F$12,"Long lead time — start vendor or replacement engagement now","Quick win — config or upgrade, schedule it"),IF($T20&gt;=02_Model!$F$12,"Low priority but hard — bundle with the next refresh","Low priority and easy — sweep in BAU")))</f>
        <v/>
      </c>
    </row>
    <row r="21" customFormat="false" ht="15" hidden="false" customHeight="false" outlineLevel="0" collapsed="false">
      <c r="A21" s="24"/>
      <c r="B21" s="24"/>
      <c r="C21" s="25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1" t="str">
        <f aca="false">IF(AND($H21="",$I21=""),"",MAX(IF($H21="",0,IFERROR(INDEX(02_Model!$C$29:$C$34,MATCH($H21,02_Model!$B$29:$B$34,0)),3)),IF($I21="",0,IFERROR(INDEX(02_Model!$C$38:$C$40,MATCH($I21,02_Model!$B$38:$B$40,0)),2))))</f>
        <v/>
      </c>
      <c r="Q21" s="21" t="str">
        <f aca="false">IF($E21="","",IFERROR(INDEX(02_Model!$C$5:$C$10,MATCH($E21,02_Model!$B$5:$B$10,0)),3))</f>
        <v/>
      </c>
      <c r="R21" s="22" t="str">
        <f aca="false">IF(AND($F21="",$G21=""),"",ROUND((IF($F21="",3,IFERROR(INDEX(02_Model!$C$13:$C$18,MATCH($F21,02_Model!$B$13:$B$18,0)),3))+IF($G21="",3,IFERROR(INDEX(02_Model!$C$21:$C$26,MATCH($G21,02_Model!$B$21:$B$26,0)),3)))/2,1))</f>
        <v/>
      </c>
      <c r="S21" s="21" t="str">
        <f aca="false">IF($B21="","",ROUND(100*(02_Model!$F$5*IF($P21="",3,$P21)/5+02_Model!$F$6*IF($Q21="",3,$Q21)/5+02_Model!$F$7*IF($R21="",3,$R21)/5),0))</f>
        <v/>
      </c>
      <c r="T21" s="22" t="str">
        <f aca="false">IF($L21="","",MIN(5,IFERROR(INDEX(02_Model!$C$44:$C$49,MATCH($L21,02_Model!$B$44:$B$49,0)),3)+IF($M21="",0.5,IFERROR(INDEX(02_Model!$C$53:$C$57,MATCH($M21,02_Model!$B$53:$B$57,0)),0.5))))</f>
        <v/>
      </c>
      <c r="U21" s="23" t="str">
        <f aca="false">IF($S21="","",IF($S21&gt;=02_Model!$F$9,"1 — Deep dive now",IF($S21&gt;=02_Model!$F$10,"2 — Deep dive next",IF($S21&gt;=02_Model!$F$11,"3 — Light touch","4 — Park, re-check next cycle"))))</f>
        <v/>
      </c>
      <c r="V21" s="23" t="str">
        <f aca="false">IF(OR($S21="",$T21=""),"",IF($S21&gt;=02_Model!$F$10,IF($T21&gt;=02_Model!$F$12,"Long lead time — start vendor or replacement engagement now","Quick win — config or upgrade, schedule it"),IF($T21&gt;=02_Model!$F$12,"Low priority but hard — bundle with the next refresh","Low priority and easy — sweep in BAU")))</f>
        <v/>
      </c>
    </row>
    <row r="22" customFormat="false" ht="15" hidden="false" customHeight="false" outlineLevel="0" collapsed="false">
      <c r="A22" s="24"/>
      <c r="B22" s="24"/>
      <c r="C22" s="25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1" t="str">
        <f aca="false">IF(AND($H22="",$I22=""),"",MAX(IF($H22="",0,IFERROR(INDEX(02_Model!$C$29:$C$34,MATCH($H22,02_Model!$B$29:$B$34,0)),3)),IF($I22="",0,IFERROR(INDEX(02_Model!$C$38:$C$40,MATCH($I22,02_Model!$B$38:$B$40,0)),2))))</f>
        <v/>
      </c>
      <c r="Q22" s="21" t="str">
        <f aca="false">IF($E22="","",IFERROR(INDEX(02_Model!$C$5:$C$10,MATCH($E22,02_Model!$B$5:$B$10,0)),3))</f>
        <v/>
      </c>
      <c r="R22" s="22" t="str">
        <f aca="false">IF(AND($F22="",$G22=""),"",ROUND((IF($F22="",3,IFERROR(INDEX(02_Model!$C$13:$C$18,MATCH($F22,02_Model!$B$13:$B$18,0)),3))+IF($G22="",3,IFERROR(INDEX(02_Model!$C$21:$C$26,MATCH($G22,02_Model!$B$21:$B$26,0)),3)))/2,1))</f>
        <v/>
      </c>
      <c r="S22" s="21" t="str">
        <f aca="false">IF($B22="","",ROUND(100*(02_Model!$F$5*IF($P22="",3,$P22)/5+02_Model!$F$6*IF($Q22="",3,$Q22)/5+02_Model!$F$7*IF($R22="",3,$R22)/5),0))</f>
        <v/>
      </c>
      <c r="T22" s="22" t="str">
        <f aca="false">IF($L22="","",MIN(5,IFERROR(INDEX(02_Model!$C$44:$C$49,MATCH($L22,02_Model!$B$44:$B$49,0)),3)+IF($M22="",0.5,IFERROR(INDEX(02_Model!$C$53:$C$57,MATCH($M22,02_Model!$B$53:$B$57,0)),0.5))))</f>
        <v/>
      </c>
      <c r="U22" s="23" t="str">
        <f aca="false">IF($S22="","",IF($S22&gt;=02_Model!$F$9,"1 — Deep dive now",IF($S22&gt;=02_Model!$F$10,"2 — Deep dive next",IF($S22&gt;=02_Model!$F$11,"3 — Light touch","4 — Park, re-check next cycle"))))</f>
        <v/>
      </c>
      <c r="V22" s="23" t="str">
        <f aca="false">IF(OR($S22="",$T22=""),"",IF($S22&gt;=02_Model!$F$10,IF($T22&gt;=02_Model!$F$12,"Long lead time — start vendor or replacement engagement now","Quick win — config or upgrade, schedule it"),IF($T22&gt;=02_Model!$F$12,"Low priority but hard — bundle with the next refresh","Low priority and easy — sweep in BAU")))</f>
        <v/>
      </c>
    </row>
    <row r="23" customFormat="false" ht="15" hidden="false" customHeight="false" outlineLevel="0" collapsed="false">
      <c r="A23" s="24"/>
      <c r="B23" s="24"/>
      <c r="C23" s="25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1" t="str">
        <f aca="false">IF(AND($H23="",$I23=""),"",MAX(IF($H23="",0,IFERROR(INDEX(02_Model!$C$29:$C$34,MATCH($H23,02_Model!$B$29:$B$34,0)),3)),IF($I23="",0,IFERROR(INDEX(02_Model!$C$38:$C$40,MATCH($I23,02_Model!$B$38:$B$40,0)),2))))</f>
        <v/>
      </c>
      <c r="Q23" s="21" t="str">
        <f aca="false">IF($E23="","",IFERROR(INDEX(02_Model!$C$5:$C$10,MATCH($E23,02_Model!$B$5:$B$10,0)),3))</f>
        <v/>
      </c>
      <c r="R23" s="22" t="str">
        <f aca="false">IF(AND($F23="",$G23=""),"",ROUND((IF($F23="",3,IFERROR(INDEX(02_Model!$C$13:$C$18,MATCH($F23,02_Model!$B$13:$B$18,0)),3))+IF($G23="",3,IFERROR(INDEX(02_Model!$C$21:$C$26,MATCH($G23,02_Model!$B$21:$B$26,0)),3)))/2,1))</f>
        <v/>
      </c>
      <c r="S23" s="21" t="str">
        <f aca="false">IF($B23="","",ROUND(100*(02_Model!$F$5*IF($P23="",3,$P23)/5+02_Model!$F$6*IF($Q23="",3,$Q23)/5+02_Model!$F$7*IF($R23="",3,$R23)/5),0))</f>
        <v/>
      </c>
      <c r="T23" s="22" t="str">
        <f aca="false">IF($L23="","",MIN(5,IFERROR(INDEX(02_Model!$C$44:$C$49,MATCH($L23,02_Model!$B$44:$B$49,0)),3)+IF($M23="",0.5,IFERROR(INDEX(02_Model!$C$53:$C$57,MATCH($M23,02_Model!$B$53:$B$57,0)),0.5))))</f>
        <v/>
      </c>
      <c r="U23" s="23" t="str">
        <f aca="false">IF($S23="","",IF($S23&gt;=02_Model!$F$9,"1 — Deep dive now",IF($S23&gt;=02_Model!$F$10,"2 — Deep dive next",IF($S23&gt;=02_Model!$F$11,"3 — Light touch","4 — Park, re-check next cycle"))))</f>
        <v/>
      </c>
      <c r="V23" s="23" t="str">
        <f aca="false">IF(OR($S23="",$T23=""),"",IF($S23&gt;=02_Model!$F$10,IF($T23&gt;=02_Model!$F$12,"Long lead time — start vendor or replacement engagement now","Quick win — config or upgrade, schedule it"),IF($T23&gt;=02_Model!$F$12,"Low priority but hard — bundle with the next refresh","Low priority and easy — sweep in BAU")))</f>
        <v/>
      </c>
    </row>
    <row r="24" customFormat="false" ht="15" hidden="false" customHeight="false" outlineLevel="0" collapsed="false">
      <c r="A24" s="24"/>
      <c r="B24" s="24"/>
      <c r="C24" s="25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1" t="str">
        <f aca="false">IF(AND($H24="",$I24=""),"",MAX(IF($H24="",0,IFERROR(INDEX(02_Model!$C$29:$C$34,MATCH($H24,02_Model!$B$29:$B$34,0)),3)),IF($I24="",0,IFERROR(INDEX(02_Model!$C$38:$C$40,MATCH($I24,02_Model!$B$38:$B$40,0)),2))))</f>
        <v/>
      </c>
      <c r="Q24" s="21" t="str">
        <f aca="false">IF($E24="","",IFERROR(INDEX(02_Model!$C$5:$C$10,MATCH($E24,02_Model!$B$5:$B$10,0)),3))</f>
        <v/>
      </c>
      <c r="R24" s="22" t="str">
        <f aca="false">IF(AND($F24="",$G24=""),"",ROUND((IF($F24="",3,IFERROR(INDEX(02_Model!$C$13:$C$18,MATCH($F24,02_Model!$B$13:$B$18,0)),3))+IF($G24="",3,IFERROR(INDEX(02_Model!$C$21:$C$26,MATCH($G24,02_Model!$B$21:$B$26,0)),3)))/2,1))</f>
        <v/>
      </c>
      <c r="S24" s="21" t="str">
        <f aca="false">IF($B24="","",ROUND(100*(02_Model!$F$5*IF($P24="",3,$P24)/5+02_Model!$F$6*IF($Q24="",3,$Q24)/5+02_Model!$F$7*IF($R24="",3,$R24)/5),0))</f>
        <v/>
      </c>
      <c r="T24" s="22" t="str">
        <f aca="false">IF($L24="","",MIN(5,IFERROR(INDEX(02_Model!$C$44:$C$49,MATCH($L24,02_Model!$B$44:$B$49,0)),3)+IF($M24="",0.5,IFERROR(INDEX(02_Model!$C$53:$C$57,MATCH($M24,02_Model!$B$53:$B$57,0)),0.5))))</f>
        <v/>
      </c>
      <c r="U24" s="23" t="str">
        <f aca="false">IF($S24="","",IF($S24&gt;=02_Model!$F$9,"1 — Deep dive now",IF($S24&gt;=02_Model!$F$10,"2 — Deep dive next",IF($S24&gt;=02_Model!$F$11,"3 — Light touch","4 — Park, re-check next cycle"))))</f>
        <v/>
      </c>
      <c r="V24" s="23" t="str">
        <f aca="false">IF(OR($S24="",$T24=""),"",IF($S24&gt;=02_Model!$F$10,IF($T24&gt;=02_Model!$F$12,"Long lead time — start vendor or replacement engagement now","Quick win — config or upgrade, schedule it"),IF($T24&gt;=02_Model!$F$12,"Low priority but hard — bundle with the next refresh","Low priority and easy — sweep in BAU")))</f>
        <v/>
      </c>
    </row>
    <row r="25" customFormat="false" ht="15" hidden="false" customHeight="false" outlineLevel="0" collapsed="false">
      <c r="A25" s="24"/>
      <c r="B25" s="24"/>
      <c r="C25" s="25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1" t="str">
        <f aca="false">IF(AND($H25="",$I25=""),"",MAX(IF($H25="",0,IFERROR(INDEX(02_Model!$C$29:$C$34,MATCH($H25,02_Model!$B$29:$B$34,0)),3)),IF($I25="",0,IFERROR(INDEX(02_Model!$C$38:$C$40,MATCH($I25,02_Model!$B$38:$B$40,0)),2))))</f>
        <v/>
      </c>
      <c r="Q25" s="21" t="str">
        <f aca="false">IF($E25="","",IFERROR(INDEX(02_Model!$C$5:$C$10,MATCH($E25,02_Model!$B$5:$B$10,0)),3))</f>
        <v/>
      </c>
      <c r="R25" s="22" t="str">
        <f aca="false">IF(AND($F25="",$G25=""),"",ROUND((IF($F25="",3,IFERROR(INDEX(02_Model!$C$13:$C$18,MATCH($F25,02_Model!$B$13:$B$18,0)),3))+IF($G25="",3,IFERROR(INDEX(02_Model!$C$21:$C$26,MATCH($G25,02_Model!$B$21:$B$26,0)),3)))/2,1))</f>
        <v/>
      </c>
      <c r="S25" s="21" t="str">
        <f aca="false">IF($B25="","",ROUND(100*(02_Model!$F$5*IF($P25="",3,$P25)/5+02_Model!$F$6*IF($Q25="",3,$Q25)/5+02_Model!$F$7*IF($R25="",3,$R25)/5),0))</f>
        <v/>
      </c>
      <c r="T25" s="22" t="str">
        <f aca="false">IF($L25="","",MIN(5,IFERROR(INDEX(02_Model!$C$44:$C$49,MATCH($L25,02_Model!$B$44:$B$49,0)),3)+IF($M25="",0.5,IFERROR(INDEX(02_Model!$C$53:$C$57,MATCH($M25,02_Model!$B$53:$B$57,0)),0.5))))</f>
        <v/>
      </c>
      <c r="U25" s="23" t="str">
        <f aca="false">IF($S25="","",IF($S25&gt;=02_Model!$F$9,"1 — Deep dive now",IF($S25&gt;=02_Model!$F$10,"2 — Deep dive next",IF($S25&gt;=02_Model!$F$11,"3 — Light touch","4 — Park, re-check next cycle"))))</f>
        <v/>
      </c>
      <c r="V25" s="23" t="str">
        <f aca="false">IF(OR($S25="",$T25=""),"",IF($S25&gt;=02_Model!$F$10,IF($T25&gt;=02_Model!$F$12,"Long lead time — start vendor or replacement engagement now","Quick win — config or upgrade, schedule it"),IF($T25&gt;=02_Model!$F$12,"Low priority but hard — bundle with the next refresh","Low priority and easy — sweep in BAU")))</f>
        <v/>
      </c>
    </row>
    <row r="26" customFormat="false" ht="15" hidden="false" customHeight="false" outlineLevel="0" collapsed="false">
      <c r="A26" s="24"/>
      <c r="B26" s="24"/>
      <c r="C26" s="25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1" t="str">
        <f aca="false">IF(AND($H26="",$I26=""),"",MAX(IF($H26="",0,IFERROR(INDEX(02_Model!$C$29:$C$34,MATCH($H26,02_Model!$B$29:$B$34,0)),3)),IF($I26="",0,IFERROR(INDEX(02_Model!$C$38:$C$40,MATCH($I26,02_Model!$B$38:$B$40,0)),2))))</f>
        <v/>
      </c>
      <c r="Q26" s="21" t="str">
        <f aca="false">IF($E26="","",IFERROR(INDEX(02_Model!$C$5:$C$10,MATCH($E26,02_Model!$B$5:$B$10,0)),3))</f>
        <v/>
      </c>
      <c r="R26" s="22" t="str">
        <f aca="false">IF(AND($F26="",$G26=""),"",ROUND((IF($F26="",3,IFERROR(INDEX(02_Model!$C$13:$C$18,MATCH($F26,02_Model!$B$13:$B$18,0)),3))+IF($G26="",3,IFERROR(INDEX(02_Model!$C$21:$C$26,MATCH($G26,02_Model!$B$21:$B$26,0)),3)))/2,1))</f>
        <v/>
      </c>
      <c r="S26" s="21" t="str">
        <f aca="false">IF($B26="","",ROUND(100*(02_Model!$F$5*IF($P26="",3,$P26)/5+02_Model!$F$6*IF($Q26="",3,$Q26)/5+02_Model!$F$7*IF($R26="",3,$R26)/5),0))</f>
        <v/>
      </c>
      <c r="T26" s="22" t="str">
        <f aca="false">IF($L26="","",MIN(5,IFERROR(INDEX(02_Model!$C$44:$C$49,MATCH($L26,02_Model!$B$44:$B$49,0)),3)+IF($M26="",0.5,IFERROR(INDEX(02_Model!$C$53:$C$57,MATCH($M26,02_Model!$B$53:$B$57,0)),0.5))))</f>
        <v/>
      </c>
      <c r="U26" s="23" t="str">
        <f aca="false">IF($S26="","",IF($S26&gt;=02_Model!$F$9,"1 — Deep dive now",IF($S26&gt;=02_Model!$F$10,"2 — Deep dive next",IF($S26&gt;=02_Model!$F$11,"3 — Light touch","4 — Park, re-check next cycle"))))</f>
        <v/>
      </c>
      <c r="V26" s="23" t="str">
        <f aca="false">IF(OR($S26="",$T26=""),"",IF($S26&gt;=02_Model!$F$10,IF($T26&gt;=02_Model!$F$12,"Long lead time — start vendor or replacement engagement now","Quick win — config or upgrade, schedule it"),IF($T26&gt;=02_Model!$F$12,"Low priority but hard — bundle with the next refresh","Low priority and easy — sweep in BAU")))</f>
        <v/>
      </c>
    </row>
    <row r="27" customFormat="false" ht="15" hidden="false" customHeight="false" outlineLevel="0" collapsed="false">
      <c r="A27" s="24"/>
      <c r="B27" s="24"/>
      <c r="C27" s="25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1" t="str">
        <f aca="false">IF(AND($H27="",$I27=""),"",MAX(IF($H27="",0,IFERROR(INDEX(02_Model!$C$29:$C$34,MATCH($H27,02_Model!$B$29:$B$34,0)),3)),IF($I27="",0,IFERROR(INDEX(02_Model!$C$38:$C$40,MATCH($I27,02_Model!$B$38:$B$40,0)),2))))</f>
        <v/>
      </c>
      <c r="Q27" s="21" t="str">
        <f aca="false">IF($E27="","",IFERROR(INDEX(02_Model!$C$5:$C$10,MATCH($E27,02_Model!$B$5:$B$10,0)),3))</f>
        <v/>
      </c>
      <c r="R27" s="22" t="str">
        <f aca="false">IF(AND($F27="",$G27=""),"",ROUND((IF($F27="",3,IFERROR(INDEX(02_Model!$C$13:$C$18,MATCH($F27,02_Model!$B$13:$B$18,0)),3))+IF($G27="",3,IFERROR(INDEX(02_Model!$C$21:$C$26,MATCH($G27,02_Model!$B$21:$B$26,0)),3)))/2,1))</f>
        <v/>
      </c>
      <c r="S27" s="21" t="str">
        <f aca="false">IF($B27="","",ROUND(100*(02_Model!$F$5*IF($P27="",3,$P27)/5+02_Model!$F$6*IF($Q27="",3,$Q27)/5+02_Model!$F$7*IF($R27="",3,$R27)/5),0))</f>
        <v/>
      </c>
      <c r="T27" s="22" t="str">
        <f aca="false">IF($L27="","",MIN(5,IFERROR(INDEX(02_Model!$C$44:$C$49,MATCH($L27,02_Model!$B$44:$B$49,0)),3)+IF($M27="",0.5,IFERROR(INDEX(02_Model!$C$53:$C$57,MATCH($M27,02_Model!$B$53:$B$57,0)),0.5))))</f>
        <v/>
      </c>
      <c r="U27" s="23" t="str">
        <f aca="false">IF($S27="","",IF($S27&gt;=02_Model!$F$9,"1 — Deep dive now",IF($S27&gt;=02_Model!$F$10,"2 — Deep dive next",IF($S27&gt;=02_Model!$F$11,"3 — Light touch","4 — Park, re-check next cycle"))))</f>
        <v/>
      </c>
      <c r="V27" s="23" t="str">
        <f aca="false">IF(OR($S27="",$T27=""),"",IF($S27&gt;=02_Model!$F$10,IF($T27&gt;=02_Model!$F$12,"Long lead time — start vendor or replacement engagement now","Quick win — config or upgrade, schedule it"),IF($T27&gt;=02_Model!$F$12,"Low priority but hard — bundle with the next refresh","Low priority and easy — sweep in BAU")))</f>
        <v/>
      </c>
    </row>
    <row r="28" customFormat="false" ht="15" hidden="false" customHeight="false" outlineLevel="0" collapsed="false">
      <c r="A28" s="24"/>
      <c r="B28" s="24"/>
      <c r="C28" s="25"/>
      <c r="D28" s="25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1" t="str">
        <f aca="false">IF(AND($H28="",$I28=""),"",MAX(IF($H28="",0,IFERROR(INDEX(02_Model!$C$29:$C$34,MATCH($H28,02_Model!$B$29:$B$34,0)),3)),IF($I28="",0,IFERROR(INDEX(02_Model!$C$38:$C$40,MATCH($I28,02_Model!$B$38:$B$40,0)),2))))</f>
        <v/>
      </c>
      <c r="Q28" s="21" t="str">
        <f aca="false">IF($E28="","",IFERROR(INDEX(02_Model!$C$5:$C$10,MATCH($E28,02_Model!$B$5:$B$10,0)),3))</f>
        <v/>
      </c>
      <c r="R28" s="22" t="str">
        <f aca="false">IF(AND($F28="",$G28=""),"",ROUND((IF($F28="",3,IFERROR(INDEX(02_Model!$C$13:$C$18,MATCH($F28,02_Model!$B$13:$B$18,0)),3))+IF($G28="",3,IFERROR(INDEX(02_Model!$C$21:$C$26,MATCH($G28,02_Model!$B$21:$B$26,0)),3)))/2,1))</f>
        <v/>
      </c>
      <c r="S28" s="21" t="str">
        <f aca="false">IF($B28="","",ROUND(100*(02_Model!$F$5*IF($P28="",3,$P28)/5+02_Model!$F$6*IF($Q28="",3,$Q28)/5+02_Model!$F$7*IF($R28="",3,$R28)/5),0))</f>
        <v/>
      </c>
      <c r="T28" s="22" t="str">
        <f aca="false">IF($L28="","",MIN(5,IFERROR(INDEX(02_Model!$C$44:$C$49,MATCH($L28,02_Model!$B$44:$B$49,0)),3)+IF($M28="",0.5,IFERROR(INDEX(02_Model!$C$53:$C$57,MATCH($M28,02_Model!$B$53:$B$57,0)),0.5))))</f>
        <v/>
      </c>
      <c r="U28" s="23" t="str">
        <f aca="false">IF($S28="","",IF($S28&gt;=02_Model!$F$9,"1 — Deep dive now",IF($S28&gt;=02_Model!$F$10,"2 — Deep dive next",IF($S28&gt;=02_Model!$F$11,"3 — Light touch","4 — Park, re-check next cycle"))))</f>
        <v/>
      </c>
      <c r="V28" s="23" t="str">
        <f aca="false">IF(OR($S28="",$T28=""),"",IF($S28&gt;=02_Model!$F$10,IF($T28&gt;=02_Model!$F$12,"Long lead time — start vendor or replacement engagement now","Quick win — config or upgrade, schedule it"),IF($T28&gt;=02_Model!$F$12,"Low priority but hard — bundle with the next refresh","Low priority and easy — sweep in BAU")))</f>
        <v/>
      </c>
    </row>
    <row r="29" customFormat="false" ht="15" hidden="false" customHeight="false" outlineLevel="0" collapsed="false">
      <c r="A29" s="24"/>
      <c r="B29" s="24"/>
      <c r="C29" s="25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1" t="str">
        <f aca="false">IF(AND($H29="",$I29=""),"",MAX(IF($H29="",0,IFERROR(INDEX(02_Model!$C$29:$C$34,MATCH($H29,02_Model!$B$29:$B$34,0)),3)),IF($I29="",0,IFERROR(INDEX(02_Model!$C$38:$C$40,MATCH($I29,02_Model!$B$38:$B$40,0)),2))))</f>
        <v/>
      </c>
      <c r="Q29" s="21" t="str">
        <f aca="false">IF($E29="","",IFERROR(INDEX(02_Model!$C$5:$C$10,MATCH($E29,02_Model!$B$5:$B$10,0)),3))</f>
        <v/>
      </c>
      <c r="R29" s="22" t="str">
        <f aca="false">IF(AND($F29="",$G29=""),"",ROUND((IF($F29="",3,IFERROR(INDEX(02_Model!$C$13:$C$18,MATCH($F29,02_Model!$B$13:$B$18,0)),3))+IF($G29="",3,IFERROR(INDEX(02_Model!$C$21:$C$26,MATCH($G29,02_Model!$B$21:$B$26,0)),3)))/2,1))</f>
        <v/>
      </c>
      <c r="S29" s="21" t="str">
        <f aca="false">IF($B29="","",ROUND(100*(02_Model!$F$5*IF($P29="",3,$P29)/5+02_Model!$F$6*IF($Q29="",3,$Q29)/5+02_Model!$F$7*IF($R29="",3,$R29)/5),0))</f>
        <v/>
      </c>
      <c r="T29" s="22" t="str">
        <f aca="false">IF($L29="","",MIN(5,IFERROR(INDEX(02_Model!$C$44:$C$49,MATCH($L29,02_Model!$B$44:$B$49,0)),3)+IF($M29="",0.5,IFERROR(INDEX(02_Model!$C$53:$C$57,MATCH($M29,02_Model!$B$53:$B$57,0)),0.5))))</f>
        <v/>
      </c>
      <c r="U29" s="23" t="str">
        <f aca="false">IF($S29="","",IF($S29&gt;=02_Model!$F$9,"1 — Deep dive now",IF($S29&gt;=02_Model!$F$10,"2 — Deep dive next",IF($S29&gt;=02_Model!$F$11,"3 — Light touch","4 — Park, re-check next cycle"))))</f>
        <v/>
      </c>
      <c r="V29" s="23" t="str">
        <f aca="false">IF(OR($S29="",$T29=""),"",IF($S29&gt;=02_Model!$F$10,IF($T29&gt;=02_Model!$F$12,"Long lead time — start vendor or replacement engagement now","Quick win — config or upgrade, schedule it"),IF($T29&gt;=02_Model!$F$12,"Low priority but hard — bundle with the next refresh","Low priority and easy — sweep in BAU")))</f>
        <v/>
      </c>
    </row>
    <row r="30" customFormat="false" ht="15" hidden="false" customHeight="false" outlineLevel="0" collapsed="false">
      <c r="A30" s="24"/>
      <c r="B30" s="24"/>
      <c r="C30" s="25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/>
      <c r="P30" s="21" t="str">
        <f aca="false">IF(AND($H30="",$I30=""),"",MAX(IF($H30="",0,IFERROR(INDEX(02_Model!$C$29:$C$34,MATCH($H30,02_Model!$B$29:$B$34,0)),3)),IF($I30="",0,IFERROR(INDEX(02_Model!$C$38:$C$40,MATCH($I30,02_Model!$B$38:$B$40,0)),2))))</f>
        <v/>
      </c>
      <c r="Q30" s="21" t="str">
        <f aca="false">IF($E30="","",IFERROR(INDEX(02_Model!$C$5:$C$10,MATCH($E30,02_Model!$B$5:$B$10,0)),3))</f>
        <v/>
      </c>
      <c r="R30" s="22" t="str">
        <f aca="false">IF(AND($F30="",$G30=""),"",ROUND((IF($F30="",3,IFERROR(INDEX(02_Model!$C$13:$C$18,MATCH($F30,02_Model!$B$13:$B$18,0)),3))+IF($G30="",3,IFERROR(INDEX(02_Model!$C$21:$C$26,MATCH($G30,02_Model!$B$21:$B$26,0)),3)))/2,1))</f>
        <v/>
      </c>
      <c r="S30" s="21" t="str">
        <f aca="false">IF($B30="","",ROUND(100*(02_Model!$F$5*IF($P30="",3,$P30)/5+02_Model!$F$6*IF($Q30="",3,$Q30)/5+02_Model!$F$7*IF($R30="",3,$R30)/5),0))</f>
        <v/>
      </c>
      <c r="T30" s="22" t="str">
        <f aca="false">IF($L30="","",MIN(5,IFERROR(INDEX(02_Model!$C$44:$C$49,MATCH($L30,02_Model!$B$44:$B$49,0)),3)+IF($M30="",0.5,IFERROR(INDEX(02_Model!$C$53:$C$57,MATCH($M30,02_Model!$B$53:$B$57,0)),0.5))))</f>
        <v/>
      </c>
      <c r="U30" s="23" t="str">
        <f aca="false">IF($S30="","",IF($S30&gt;=02_Model!$F$9,"1 — Deep dive now",IF($S30&gt;=02_Model!$F$10,"2 — Deep dive next",IF($S30&gt;=02_Model!$F$11,"3 — Light touch","4 — Park, re-check next cycle"))))</f>
        <v/>
      </c>
      <c r="V30" s="23" t="str">
        <f aca="false">IF(OR($S30="",$T30=""),"",IF($S30&gt;=02_Model!$F$10,IF($T30&gt;=02_Model!$F$12,"Long lead time — start vendor or replacement engagement now","Quick win — config or upgrade, schedule it"),IF($T30&gt;=02_Model!$F$12,"Low priority but hard — bundle with the next refresh","Low priority and easy — sweep in BAU")))</f>
        <v/>
      </c>
    </row>
    <row r="31" customFormat="false" ht="15" hidden="false" customHeight="false" outlineLevel="0" collapsed="false">
      <c r="A31" s="24"/>
      <c r="B31" s="24"/>
      <c r="C31" s="25"/>
      <c r="D31" s="25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  <c r="P31" s="21" t="str">
        <f aca="false">IF(AND($H31="",$I31=""),"",MAX(IF($H31="",0,IFERROR(INDEX(02_Model!$C$29:$C$34,MATCH($H31,02_Model!$B$29:$B$34,0)),3)),IF($I31="",0,IFERROR(INDEX(02_Model!$C$38:$C$40,MATCH($I31,02_Model!$B$38:$B$40,0)),2))))</f>
        <v/>
      </c>
      <c r="Q31" s="21" t="str">
        <f aca="false">IF($E31="","",IFERROR(INDEX(02_Model!$C$5:$C$10,MATCH($E31,02_Model!$B$5:$B$10,0)),3))</f>
        <v/>
      </c>
      <c r="R31" s="22" t="str">
        <f aca="false">IF(AND($F31="",$G31=""),"",ROUND((IF($F31="",3,IFERROR(INDEX(02_Model!$C$13:$C$18,MATCH($F31,02_Model!$B$13:$B$18,0)),3))+IF($G31="",3,IFERROR(INDEX(02_Model!$C$21:$C$26,MATCH($G31,02_Model!$B$21:$B$26,0)),3)))/2,1))</f>
        <v/>
      </c>
      <c r="S31" s="21" t="str">
        <f aca="false">IF($B31="","",ROUND(100*(02_Model!$F$5*IF($P31="",3,$P31)/5+02_Model!$F$6*IF($Q31="",3,$Q31)/5+02_Model!$F$7*IF($R31="",3,$R31)/5),0))</f>
        <v/>
      </c>
      <c r="T31" s="22" t="str">
        <f aca="false">IF($L31="","",MIN(5,IFERROR(INDEX(02_Model!$C$44:$C$49,MATCH($L31,02_Model!$B$44:$B$49,0)),3)+IF($M31="",0.5,IFERROR(INDEX(02_Model!$C$53:$C$57,MATCH($M31,02_Model!$B$53:$B$57,0)),0.5))))</f>
        <v/>
      </c>
      <c r="U31" s="23" t="str">
        <f aca="false">IF($S31="","",IF($S31&gt;=02_Model!$F$9,"1 — Deep dive now",IF($S31&gt;=02_Model!$F$10,"2 — Deep dive next",IF($S31&gt;=02_Model!$F$11,"3 — Light touch","4 — Park, re-check next cycle"))))</f>
        <v/>
      </c>
      <c r="V31" s="23" t="str">
        <f aca="false">IF(OR($S31="",$T31=""),"",IF($S31&gt;=02_Model!$F$10,IF($T31&gt;=02_Model!$F$12,"Long lead time — start vendor or replacement engagement now","Quick win — config or upgrade, schedule it"),IF($T31&gt;=02_Model!$F$12,"Low priority but hard — bundle with the next refresh","Low priority and easy — sweep in BAU")))</f>
        <v/>
      </c>
    </row>
    <row r="32" customFormat="false" ht="15" hidden="false" customHeight="false" outlineLevel="0" collapsed="false">
      <c r="A32" s="24"/>
      <c r="B32" s="24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1" t="str">
        <f aca="false">IF(AND($H32="",$I32=""),"",MAX(IF($H32="",0,IFERROR(INDEX(02_Model!$C$29:$C$34,MATCH($H32,02_Model!$B$29:$B$34,0)),3)),IF($I32="",0,IFERROR(INDEX(02_Model!$C$38:$C$40,MATCH($I32,02_Model!$B$38:$B$40,0)),2))))</f>
        <v/>
      </c>
      <c r="Q32" s="21" t="str">
        <f aca="false">IF($E32="","",IFERROR(INDEX(02_Model!$C$5:$C$10,MATCH($E32,02_Model!$B$5:$B$10,0)),3))</f>
        <v/>
      </c>
      <c r="R32" s="22" t="str">
        <f aca="false">IF(AND($F32="",$G32=""),"",ROUND((IF($F32="",3,IFERROR(INDEX(02_Model!$C$13:$C$18,MATCH($F32,02_Model!$B$13:$B$18,0)),3))+IF($G32="",3,IFERROR(INDEX(02_Model!$C$21:$C$26,MATCH($G32,02_Model!$B$21:$B$26,0)),3)))/2,1))</f>
        <v/>
      </c>
      <c r="S32" s="21" t="str">
        <f aca="false">IF($B32="","",ROUND(100*(02_Model!$F$5*IF($P32="",3,$P32)/5+02_Model!$F$6*IF($Q32="",3,$Q32)/5+02_Model!$F$7*IF($R32="",3,$R32)/5),0))</f>
        <v/>
      </c>
      <c r="T32" s="22" t="str">
        <f aca="false">IF($L32="","",MIN(5,IFERROR(INDEX(02_Model!$C$44:$C$49,MATCH($L32,02_Model!$B$44:$B$49,0)),3)+IF($M32="",0.5,IFERROR(INDEX(02_Model!$C$53:$C$57,MATCH($M32,02_Model!$B$53:$B$57,0)),0.5))))</f>
        <v/>
      </c>
      <c r="U32" s="23" t="str">
        <f aca="false">IF($S32="","",IF($S32&gt;=02_Model!$F$9,"1 — Deep dive now",IF($S32&gt;=02_Model!$F$10,"2 — Deep dive next",IF($S32&gt;=02_Model!$F$11,"3 — Light touch","4 — Park, re-check next cycle"))))</f>
        <v/>
      </c>
      <c r="V32" s="23" t="str">
        <f aca="false">IF(OR($S32="",$T32=""),"",IF($S32&gt;=02_Model!$F$10,IF($T32&gt;=02_Model!$F$12,"Long lead time — start vendor or replacement engagement now","Quick win — config or upgrade, schedule it"),IF($T32&gt;=02_Model!$F$12,"Low priority but hard — bundle with the next refresh","Low priority and easy — sweep in BAU")))</f>
        <v/>
      </c>
    </row>
    <row r="33" customFormat="false" ht="15" hidden="false" customHeight="false" outlineLevel="0" collapsed="false">
      <c r="A33" s="24"/>
      <c r="B33" s="24"/>
      <c r="C33" s="25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/>
      <c r="P33" s="21" t="str">
        <f aca="false">IF(AND($H33="",$I33=""),"",MAX(IF($H33="",0,IFERROR(INDEX(02_Model!$C$29:$C$34,MATCH($H33,02_Model!$B$29:$B$34,0)),3)),IF($I33="",0,IFERROR(INDEX(02_Model!$C$38:$C$40,MATCH($I33,02_Model!$B$38:$B$40,0)),2))))</f>
        <v/>
      </c>
      <c r="Q33" s="21" t="str">
        <f aca="false">IF($E33="","",IFERROR(INDEX(02_Model!$C$5:$C$10,MATCH($E33,02_Model!$B$5:$B$10,0)),3))</f>
        <v/>
      </c>
      <c r="R33" s="22" t="str">
        <f aca="false">IF(AND($F33="",$G33=""),"",ROUND((IF($F33="",3,IFERROR(INDEX(02_Model!$C$13:$C$18,MATCH($F33,02_Model!$B$13:$B$18,0)),3))+IF($G33="",3,IFERROR(INDEX(02_Model!$C$21:$C$26,MATCH($G33,02_Model!$B$21:$B$26,0)),3)))/2,1))</f>
        <v/>
      </c>
      <c r="S33" s="21" t="str">
        <f aca="false">IF($B33="","",ROUND(100*(02_Model!$F$5*IF($P33="",3,$P33)/5+02_Model!$F$6*IF($Q33="",3,$Q33)/5+02_Model!$F$7*IF($R33="",3,$R33)/5),0))</f>
        <v/>
      </c>
      <c r="T33" s="22" t="str">
        <f aca="false">IF($L33="","",MIN(5,IFERROR(INDEX(02_Model!$C$44:$C$49,MATCH($L33,02_Model!$B$44:$B$49,0)),3)+IF($M33="",0.5,IFERROR(INDEX(02_Model!$C$53:$C$57,MATCH($M33,02_Model!$B$53:$B$57,0)),0.5))))</f>
        <v/>
      </c>
      <c r="U33" s="23" t="str">
        <f aca="false">IF($S33="","",IF($S33&gt;=02_Model!$F$9,"1 — Deep dive now",IF($S33&gt;=02_Model!$F$10,"2 — Deep dive next",IF($S33&gt;=02_Model!$F$11,"3 — Light touch","4 — Park, re-check next cycle"))))</f>
        <v/>
      </c>
      <c r="V33" s="23" t="str">
        <f aca="false">IF(OR($S33="",$T33=""),"",IF($S33&gt;=02_Model!$F$10,IF($T33&gt;=02_Model!$F$12,"Long lead time — start vendor or replacement engagement now","Quick win — config or upgrade, schedule it"),IF($T33&gt;=02_Model!$F$12,"Low priority but hard — bundle with the next refresh","Low priority and easy — sweep in BAU")))</f>
        <v/>
      </c>
    </row>
    <row r="34" customFormat="false" ht="15" hidden="false" customHeight="false" outlineLevel="0" collapsed="false">
      <c r="A34" s="24"/>
      <c r="B34" s="24"/>
      <c r="C34" s="25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/>
      <c r="P34" s="21" t="str">
        <f aca="false">IF(AND($H34="",$I34=""),"",MAX(IF($H34="",0,IFERROR(INDEX(02_Model!$C$29:$C$34,MATCH($H34,02_Model!$B$29:$B$34,0)),3)),IF($I34="",0,IFERROR(INDEX(02_Model!$C$38:$C$40,MATCH($I34,02_Model!$B$38:$B$40,0)),2))))</f>
        <v/>
      </c>
      <c r="Q34" s="21" t="str">
        <f aca="false">IF($E34="","",IFERROR(INDEX(02_Model!$C$5:$C$10,MATCH($E34,02_Model!$B$5:$B$10,0)),3))</f>
        <v/>
      </c>
      <c r="R34" s="22" t="str">
        <f aca="false">IF(AND($F34="",$G34=""),"",ROUND((IF($F34="",3,IFERROR(INDEX(02_Model!$C$13:$C$18,MATCH($F34,02_Model!$B$13:$B$18,0)),3))+IF($G34="",3,IFERROR(INDEX(02_Model!$C$21:$C$26,MATCH($G34,02_Model!$B$21:$B$26,0)),3)))/2,1))</f>
        <v/>
      </c>
      <c r="S34" s="21" t="str">
        <f aca="false">IF($B34="","",ROUND(100*(02_Model!$F$5*IF($P34="",3,$P34)/5+02_Model!$F$6*IF($Q34="",3,$Q34)/5+02_Model!$F$7*IF($R34="",3,$R34)/5),0))</f>
        <v/>
      </c>
      <c r="T34" s="22" t="str">
        <f aca="false">IF($L34="","",MIN(5,IFERROR(INDEX(02_Model!$C$44:$C$49,MATCH($L34,02_Model!$B$44:$B$49,0)),3)+IF($M34="",0.5,IFERROR(INDEX(02_Model!$C$53:$C$57,MATCH($M34,02_Model!$B$53:$B$57,0)),0.5))))</f>
        <v/>
      </c>
      <c r="U34" s="23" t="str">
        <f aca="false">IF($S34="","",IF($S34&gt;=02_Model!$F$9,"1 — Deep dive now",IF($S34&gt;=02_Model!$F$10,"2 — Deep dive next",IF($S34&gt;=02_Model!$F$11,"3 — Light touch","4 — Park, re-check next cycle"))))</f>
        <v/>
      </c>
      <c r="V34" s="23" t="str">
        <f aca="false">IF(OR($S34="",$T34=""),"",IF($S34&gt;=02_Model!$F$10,IF($T34&gt;=02_Model!$F$12,"Long lead time — start vendor or replacement engagement now","Quick win — config or upgrade, schedule it"),IF($T34&gt;=02_Model!$F$12,"Low priority but hard — bundle with the next refresh","Low priority and easy — sweep in BAU")))</f>
        <v/>
      </c>
    </row>
    <row r="35" customFormat="false" ht="15" hidden="false" customHeight="false" outlineLevel="0" collapsed="false">
      <c r="A35" s="24"/>
      <c r="B35" s="24"/>
      <c r="C35" s="25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21" t="str">
        <f aca="false">IF(AND($H35="",$I35=""),"",MAX(IF($H35="",0,IFERROR(INDEX(02_Model!$C$29:$C$34,MATCH($H35,02_Model!$B$29:$B$34,0)),3)),IF($I35="",0,IFERROR(INDEX(02_Model!$C$38:$C$40,MATCH($I35,02_Model!$B$38:$B$40,0)),2))))</f>
        <v/>
      </c>
      <c r="Q35" s="21" t="str">
        <f aca="false">IF($E35="","",IFERROR(INDEX(02_Model!$C$5:$C$10,MATCH($E35,02_Model!$B$5:$B$10,0)),3))</f>
        <v/>
      </c>
      <c r="R35" s="22" t="str">
        <f aca="false">IF(AND($F35="",$G35=""),"",ROUND((IF($F35="",3,IFERROR(INDEX(02_Model!$C$13:$C$18,MATCH($F35,02_Model!$B$13:$B$18,0)),3))+IF($G35="",3,IFERROR(INDEX(02_Model!$C$21:$C$26,MATCH($G35,02_Model!$B$21:$B$26,0)),3)))/2,1))</f>
        <v/>
      </c>
      <c r="S35" s="21" t="str">
        <f aca="false">IF($B35="","",ROUND(100*(02_Model!$F$5*IF($P35="",3,$P35)/5+02_Model!$F$6*IF($Q35="",3,$Q35)/5+02_Model!$F$7*IF($R35="",3,$R35)/5),0))</f>
        <v/>
      </c>
      <c r="T35" s="22" t="str">
        <f aca="false">IF($L35="","",MIN(5,IFERROR(INDEX(02_Model!$C$44:$C$49,MATCH($L35,02_Model!$B$44:$B$49,0)),3)+IF($M35="",0.5,IFERROR(INDEX(02_Model!$C$53:$C$57,MATCH($M35,02_Model!$B$53:$B$57,0)),0.5))))</f>
        <v/>
      </c>
      <c r="U35" s="23" t="str">
        <f aca="false">IF($S35="","",IF($S35&gt;=02_Model!$F$9,"1 — Deep dive now",IF($S35&gt;=02_Model!$F$10,"2 — Deep dive next",IF($S35&gt;=02_Model!$F$11,"3 — Light touch","4 — Park, re-check next cycle"))))</f>
        <v/>
      </c>
      <c r="V35" s="23" t="str">
        <f aca="false">IF(OR($S35="",$T35=""),"",IF($S35&gt;=02_Model!$F$10,IF($T35&gt;=02_Model!$F$12,"Long lead time — start vendor or replacement engagement now","Quick win — config or upgrade, schedule it"),IF($T35&gt;=02_Model!$F$12,"Low priority but hard — bundle with the next refresh","Low priority and easy — sweep in BAU")))</f>
        <v/>
      </c>
    </row>
    <row r="36" customFormat="false" ht="15" hidden="false" customHeight="false" outlineLevel="0" collapsed="false">
      <c r="A36" s="24"/>
      <c r="B36" s="24"/>
      <c r="C36" s="25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/>
      <c r="P36" s="21" t="str">
        <f aca="false">IF(AND($H36="",$I36=""),"",MAX(IF($H36="",0,IFERROR(INDEX(02_Model!$C$29:$C$34,MATCH($H36,02_Model!$B$29:$B$34,0)),3)),IF($I36="",0,IFERROR(INDEX(02_Model!$C$38:$C$40,MATCH($I36,02_Model!$B$38:$B$40,0)),2))))</f>
        <v/>
      </c>
      <c r="Q36" s="21" t="str">
        <f aca="false">IF($E36="","",IFERROR(INDEX(02_Model!$C$5:$C$10,MATCH($E36,02_Model!$B$5:$B$10,0)),3))</f>
        <v/>
      </c>
      <c r="R36" s="22" t="str">
        <f aca="false">IF(AND($F36="",$G36=""),"",ROUND((IF($F36="",3,IFERROR(INDEX(02_Model!$C$13:$C$18,MATCH($F36,02_Model!$B$13:$B$18,0)),3))+IF($G36="",3,IFERROR(INDEX(02_Model!$C$21:$C$26,MATCH($G36,02_Model!$B$21:$B$26,0)),3)))/2,1))</f>
        <v/>
      </c>
      <c r="S36" s="21" t="str">
        <f aca="false">IF($B36="","",ROUND(100*(02_Model!$F$5*IF($P36="",3,$P36)/5+02_Model!$F$6*IF($Q36="",3,$Q36)/5+02_Model!$F$7*IF($R36="",3,$R36)/5),0))</f>
        <v/>
      </c>
      <c r="T36" s="22" t="str">
        <f aca="false">IF($L36="","",MIN(5,IFERROR(INDEX(02_Model!$C$44:$C$49,MATCH($L36,02_Model!$B$44:$B$49,0)),3)+IF($M36="",0.5,IFERROR(INDEX(02_Model!$C$53:$C$57,MATCH($M36,02_Model!$B$53:$B$57,0)),0.5))))</f>
        <v/>
      </c>
      <c r="U36" s="23" t="str">
        <f aca="false">IF($S36="","",IF($S36&gt;=02_Model!$F$9,"1 — Deep dive now",IF($S36&gt;=02_Model!$F$10,"2 — Deep dive next",IF($S36&gt;=02_Model!$F$11,"3 — Light touch","4 — Park, re-check next cycle"))))</f>
        <v/>
      </c>
      <c r="V36" s="23" t="str">
        <f aca="false">IF(OR($S36="",$T36=""),"",IF($S36&gt;=02_Model!$F$10,IF($T36&gt;=02_Model!$F$12,"Long lead time — start vendor or replacement engagement now","Quick win — config or upgrade, schedule it"),IF($T36&gt;=02_Model!$F$12,"Low priority but hard — bundle with the next refresh","Low priority and easy — sweep in BAU")))</f>
        <v/>
      </c>
    </row>
    <row r="37" customFormat="false" ht="15" hidden="false" customHeight="false" outlineLevel="0" collapsed="false">
      <c r="A37" s="24"/>
      <c r="B37" s="24"/>
      <c r="C37" s="25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  <c r="P37" s="21" t="str">
        <f aca="false">IF(AND($H37="",$I37=""),"",MAX(IF($H37="",0,IFERROR(INDEX(02_Model!$C$29:$C$34,MATCH($H37,02_Model!$B$29:$B$34,0)),3)),IF($I37="",0,IFERROR(INDEX(02_Model!$C$38:$C$40,MATCH($I37,02_Model!$B$38:$B$40,0)),2))))</f>
        <v/>
      </c>
      <c r="Q37" s="21" t="str">
        <f aca="false">IF($E37="","",IFERROR(INDEX(02_Model!$C$5:$C$10,MATCH($E37,02_Model!$B$5:$B$10,0)),3))</f>
        <v/>
      </c>
      <c r="R37" s="22" t="str">
        <f aca="false">IF(AND($F37="",$G37=""),"",ROUND((IF($F37="",3,IFERROR(INDEX(02_Model!$C$13:$C$18,MATCH($F37,02_Model!$B$13:$B$18,0)),3))+IF($G37="",3,IFERROR(INDEX(02_Model!$C$21:$C$26,MATCH($G37,02_Model!$B$21:$B$26,0)),3)))/2,1))</f>
        <v/>
      </c>
      <c r="S37" s="21" t="str">
        <f aca="false">IF($B37="","",ROUND(100*(02_Model!$F$5*IF($P37="",3,$P37)/5+02_Model!$F$6*IF($Q37="",3,$Q37)/5+02_Model!$F$7*IF($R37="",3,$R37)/5),0))</f>
        <v/>
      </c>
      <c r="T37" s="22" t="str">
        <f aca="false">IF($L37="","",MIN(5,IFERROR(INDEX(02_Model!$C$44:$C$49,MATCH($L37,02_Model!$B$44:$B$49,0)),3)+IF($M37="",0.5,IFERROR(INDEX(02_Model!$C$53:$C$57,MATCH($M37,02_Model!$B$53:$B$57,0)),0.5))))</f>
        <v/>
      </c>
      <c r="U37" s="23" t="str">
        <f aca="false">IF($S37="","",IF($S37&gt;=02_Model!$F$9,"1 — Deep dive now",IF($S37&gt;=02_Model!$F$10,"2 — Deep dive next",IF($S37&gt;=02_Model!$F$11,"3 — Light touch","4 — Park, re-check next cycle"))))</f>
        <v/>
      </c>
      <c r="V37" s="23" t="str">
        <f aca="false">IF(OR($S37="",$T37=""),"",IF($S37&gt;=02_Model!$F$10,IF($T37&gt;=02_Model!$F$12,"Long lead time — start vendor or replacement engagement now","Quick win — config or upgrade, schedule it"),IF($T37&gt;=02_Model!$F$12,"Low priority but hard — bundle with the next refresh","Low priority and easy — sweep in BAU")))</f>
        <v/>
      </c>
    </row>
    <row r="38" customFormat="false" ht="15" hidden="false" customHeight="false" outlineLevel="0" collapsed="false">
      <c r="A38" s="24"/>
      <c r="B38" s="24"/>
      <c r="C38" s="25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  <c r="P38" s="21" t="str">
        <f aca="false">IF(AND($H38="",$I38=""),"",MAX(IF($H38="",0,IFERROR(INDEX(02_Model!$C$29:$C$34,MATCH($H38,02_Model!$B$29:$B$34,0)),3)),IF($I38="",0,IFERROR(INDEX(02_Model!$C$38:$C$40,MATCH($I38,02_Model!$B$38:$B$40,0)),2))))</f>
        <v/>
      </c>
      <c r="Q38" s="21" t="str">
        <f aca="false">IF($E38="","",IFERROR(INDEX(02_Model!$C$5:$C$10,MATCH($E38,02_Model!$B$5:$B$10,0)),3))</f>
        <v/>
      </c>
      <c r="R38" s="22" t="str">
        <f aca="false">IF(AND($F38="",$G38=""),"",ROUND((IF($F38="",3,IFERROR(INDEX(02_Model!$C$13:$C$18,MATCH($F38,02_Model!$B$13:$B$18,0)),3))+IF($G38="",3,IFERROR(INDEX(02_Model!$C$21:$C$26,MATCH($G38,02_Model!$B$21:$B$26,0)),3)))/2,1))</f>
        <v/>
      </c>
      <c r="S38" s="21" t="str">
        <f aca="false">IF($B38="","",ROUND(100*(02_Model!$F$5*IF($P38="",3,$P38)/5+02_Model!$F$6*IF($Q38="",3,$Q38)/5+02_Model!$F$7*IF($R38="",3,$R38)/5),0))</f>
        <v/>
      </c>
      <c r="T38" s="22" t="str">
        <f aca="false">IF($L38="","",MIN(5,IFERROR(INDEX(02_Model!$C$44:$C$49,MATCH($L38,02_Model!$B$44:$B$49,0)),3)+IF($M38="",0.5,IFERROR(INDEX(02_Model!$C$53:$C$57,MATCH($M38,02_Model!$B$53:$B$57,0)),0.5))))</f>
        <v/>
      </c>
      <c r="U38" s="23" t="str">
        <f aca="false">IF($S38="","",IF($S38&gt;=02_Model!$F$9,"1 — Deep dive now",IF($S38&gt;=02_Model!$F$10,"2 — Deep dive next",IF($S38&gt;=02_Model!$F$11,"3 — Light touch","4 — Park, re-check next cycle"))))</f>
        <v/>
      </c>
      <c r="V38" s="23" t="str">
        <f aca="false">IF(OR($S38="",$T38=""),"",IF($S38&gt;=02_Model!$F$10,IF($T38&gt;=02_Model!$F$12,"Long lead time — start vendor or replacement engagement now","Quick win — config or upgrade, schedule it"),IF($T38&gt;=02_Model!$F$12,"Low priority but hard — bundle with the next refresh","Low priority and easy — sweep in BAU")))</f>
        <v/>
      </c>
    </row>
    <row r="39" customFormat="false" ht="15" hidden="false" customHeight="false" outlineLevel="0" collapsed="false">
      <c r="A39" s="24"/>
      <c r="B39" s="24"/>
      <c r="C39" s="25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  <c r="P39" s="21" t="str">
        <f aca="false">IF(AND($H39="",$I39=""),"",MAX(IF($H39="",0,IFERROR(INDEX(02_Model!$C$29:$C$34,MATCH($H39,02_Model!$B$29:$B$34,0)),3)),IF($I39="",0,IFERROR(INDEX(02_Model!$C$38:$C$40,MATCH($I39,02_Model!$B$38:$B$40,0)),2))))</f>
        <v/>
      </c>
      <c r="Q39" s="21" t="str">
        <f aca="false">IF($E39="","",IFERROR(INDEX(02_Model!$C$5:$C$10,MATCH($E39,02_Model!$B$5:$B$10,0)),3))</f>
        <v/>
      </c>
      <c r="R39" s="22" t="str">
        <f aca="false">IF(AND($F39="",$G39=""),"",ROUND((IF($F39="",3,IFERROR(INDEX(02_Model!$C$13:$C$18,MATCH($F39,02_Model!$B$13:$B$18,0)),3))+IF($G39="",3,IFERROR(INDEX(02_Model!$C$21:$C$26,MATCH($G39,02_Model!$B$21:$B$26,0)),3)))/2,1))</f>
        <v/>
      </c>
      <c r="S39" s="21" t="str">
        <f aca="false">IF($B39="","",ROUND(100*(02_Model!$F$5*IF($P39="",3,$P39)/5+02_Model!$F$6*IF($Q39="",3,$Q39)/5+02_Model!$F$7*IF($R39="",3,$R39)/5),0))</f>
        <v/>
      </c>
      <c r="T39" s="22" t="str">
        <f aca="false">IF($L39="","",MIN(5,IFERROR(INDEX(02_Model!$C$44:$C$49,MATCH($L39,02_Model!$B$44:$B$49,0)),3)+IF($M39="",0.5,IFERROR(INDEX(02_Model!$C$53:$C$57,MATCH($M39,02_Model!$B$53:$B$57,0)),0.5))))</f>
        <v/>
      </c>
      <c r="U39" s="23" t="str">
        <f aca="false">IF($S39="","",IF($S39&gt;=02_Model!$F$9,"1 — Deep dive now",IF($S39&gt;=02_Model!$F$10,"2 — Deep dive next",IF($S39&gt;=02_Model!$F$11,"3 — Light touch","4 — Park, re-check next cycle"))))</f>
        <v/>
      </c>
      <c r="V39" s="23" t="str">
        <f aca="false">IF(OR($S39="",$T39=""),"",IF($S39&gt;=02_Model!$F$10,IF($T39&gt;=02_Model!$F$12,"Long lead time — start vendor or replacement engagement now","Quick win — config or upgrade, schedule it"),IF($T39&gt;=02_Model!$F$12,"Low priority but hard — bundle with the next refresh","Low priority and easy — sweep in BAU")))</f>
        <v/>
      </c>
    </row>
    <row r="40" customFormat="false" ht="15" hidden="false" customHeight="false" outlineLevel="0" collapsed="false">
      <c r="A40" s="24"/>
      <c r="B40" s="24"/>
      <c r="C40" s="25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/>
      <c r="P40" s="21" t="str">
        <f aca="false">IF(AND($H40="",$I40=""),"",MAX(IF($H40="",0,IFERROR(INDEX(02_Model!$C$29:$C$34,MATCH($H40,02_Model!$B$29:$B$34,0)),3)),IF($I40="",0,IFERROR(INDEX(02_Model!$C$38:$C$40,MATCH($I40,02_Model!$B$38:$B$40,0)),2))))</f>
        <v/>
      </c>
      <c r="Q40" s="21" t="str">
        <f aca="false">IF($E40="","",IFERROR(INDEX(02_Model!$C$5:$C$10,MATCH($E40,02_Model!$B$5:$B$10,0)),3))</f>
        <v/>
      </c>
      <c r="R40" s="22" t="str">
        <f aca="false">IF(AND($F40="",$G40=""),"",ROUND((IF($F40="",3,IFERROR(INDEX(02_Model!$C$13:$C$18,MATCH($F40,02_Model!$B$13:$B$18,0)),3))+IF($G40="",3,IFERROR(INDEX(02_Model!$C$21:$C$26,MATCH($G40,02_Model!$B$21:$B$26,0)),3)))/2,1))</f>
        <v/>
      </c>
      <c r="S40" s="21" t="str">
        <f aca="false">IF($B40="","",ROUND(100*(02_Model!$F$5*IF($P40="",3,$P40)/5+02_Model!$F$6*IF($Q40="",3,$Q40)/5+02_Model!$F$7*IF($R40="",3,$R40)/5),0))</f>
        <v/>
      </c>
      <c r="T40" s="22" t="str">
        <f aca="false">IF($L40="","",MIN(5,IFERROR(INDEX(02_Model!$C$44:$C$49,MATCH($L40,02_Model!$B$44:$B$49,0)),3)+IF($M40="",0.5,IFERROR(INDEX(02_Model!$C$53:$C$57,MATCH($M40,02_Model!$B$53:$B$57,0)),0.5))))</f>
        <v/>
      </c>
      <c r="U40" s="23" t="str">
        <f aca="false">IF($S40="","",IF($S40&gt;=02_Model!$F$9,"1 — Deep dive now",IF($S40&gt;=02_Model!$F$10,"2 — Deep dive next",IF($S40&gt;=02_Model!$F$11,"3 — Light touch","4 — Park, re-check next cycle"))))</f>
        <v/>
      </c>
      <c r="V40" s="23" t="str">
        <f aca="false">IF(OR($S40="",$T40=""),"",IF($S40&gt;=02_Model!$F$10,IF($T40&gt;=02_Model!$F$12,"Long lead time — start vendor or replacement engagement now","Quick win — config or upgrade, schedule it"),IF($T40&gt;=02_Model!$F$12,"Low priority but hard — bundle with the next refresh","Low priority and easy — sweep in BAU")))</f>
        <v/>
      </c>
    </row>
    <row r="41" customFormat="false" ht="15" hidden="false" customHeight="false" outlineLevel="0" collapsed="false">
      <c r="A41" s="24"/>
      <c r="B41" s="24"/>
      <c r="C41" s="25"/>
      <c r="D41" s="25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  <c r="P41" s="21" t="str">
        <f aca="false">IF(AND($H41="",$I41=""),"",MAX(IF($H41="",0,IFERROR(INDEX(02_Model!$C$29:$C$34,MATCH($H41,02_Model!$B$29:$B$34,0)),3)),IF($I41="",0,IFERROR(INDEX(02_Model!$C$38:$C$40,MATCH($I41,02_Model!$B$38:$B$40,0)),2))))</f>
        <v/>
      </c>
      <c r="Q41" s="21" t="str">
        <f aca="false">IF($E41="","",IFERROR(INDEX(02_Model!$C$5:$C$10,MATCH($E41,02_Model!$B$5:$B$10,0)),3))</f>
        <v/>
      </c>
      <c r="R41" s="22" t="str">
        <f aca="false">IF(AND($F41="",$G41=""),"",ROUND((IF($F41="",3,IFERROR(INDEX(02_Model!$C$13:$C$18,MATCH($F41,02_Model!$B$13:$B$18,0)),3))+IF($G41="",3,IFERROR(INDEX(02_Model!$C$21:$C$26,MATCH($G41,02_Model!$B$21:$B$26,0)),3)))/2,1))</f>
        <v/>
      </c>
      <c r="S41" s="21" t="str">
        <f aca="false">IF($B41="","",ROUND(100*(02_Model!$F$5*IF($P41="",3,$P41)/5+02_Model!$F$6*IF($Q41="",3,$Q41)/5+02_Model!$F$7*IF($R41="",3,$R41)/5),0))</f>
        <v/>
      </c>
      <c r="T41" s="22" t="str">
        <f aca="false">IF($L41="","",MIN(5,IFERROR(INDEX(02_Model!$C$44:$C$49,MATCH($L41,02_Model!$B$44:$B$49,0)),3)+IF($M41="",0.5,IFERROR(INDEX(02_Model!$C$53:$C$57,MATCH($M41,02_Model!$B$53:$B$57,0)),0.5))))</f>
        <v/>
      </c>
      <c r="U41" s="23" t="str">
        <f aca="false">IF($S41="","",IF($S41&gt;=02_Model!$F$9,"1 — Deep dive now",IF($S41&gt;=02_Model!$F$10,"2 — Deep dive next",IF($S41&gt;=02_Model!$F$11,"3 — Light touch","4 — Park, re-check next cycle"))))</f>
        <v/>
      </c>
      <c r="V41" s="23" t="str">
        <f aca="false">IF(OR($S41="",$T41=""),"",IF($S41&gt;=02_Model!$F$10,IF($T41&gt;=02_Model!$F$12,"Long lead time — start vendor or replacement engagement now","Quick win — config or upgrade, schedule it"),IF($T41&gt;=02_Model!$F$12,"Low priority but hard — bundle with the next refresh","Low priority and easy — sweep in BAU")))</f>
        <v/>
      </c>
    </row>
    <row r="42" customFormat="false" ht="15" hidden="false" customHeight="false" outlineLevel="0" collapsed="false">
      <c r="A42" s="24"/>
      <c r="B42" s="24"/>
      <c r="C42" s="25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/>
      <c r="P42" s="21" t="str">
        <f aca="false">IF(AND($H42="",$I42=""),"",MAX(IF($H42="",0,IFERROR(INDEX(02_Model!$C$29:$C$34,MATCH($H42,02_Model!$B$29:$B$34,0)),3)),IF($I42="",0,IFERROR(INDEX(02_Model!$C$38:$C$40,MATCH($I42,02_Model!$B$38:$B$40,0)),2))))</f>
        <v/>
      </c>
      <c r="Q42" s="21" t="str">
        <f aca="false">IF($E42="","",IFERROR(INDEX(02_Model!$C$5:$C$10,MATCH($E42,02_Model!$B$5:$B$10,0)),3))</f>
        <v/>
      </c>
      <c r="R42" s="22" t="str">
        <f aca="false">IF(AND($F42="",$G42=""),"",ROUND((IF($F42="",3,IFERROR(INDEX(02_Model!$C$13:$C$18,MATCH($F42,02_Model!$B$13:$B$18,0)),3))+IF($G42="",3,IFERROR(INDEX(02_Model!$C$21:$C$26,MATCH($G42,02_Model!$B$21:$B$26,0)),3)))/2,1))</f>
        <v/>
      </c>
      <c r="S42" s="21" t="str">
        <f aca="false">IF($B42="","",ROUND(100*(02_Model!$F$5*IF($P42="",3,$P42)/5+02_Model!$F$6*IF($Q42="",3,$Q42)/5+02_Model!$F$7*IF($R42="",3,$R42)/5),0))</f>
        <v/>
      </c>
      <c r="T42" s="22" t="str">
        <f aca="false">IF($L42="","",MIN(5,IFERROR(INDEX(02_Model!$C$44:$C$49,MATCH($L42,02_Model!$B$44:$B$49,0)),3)+IF($M42="",0.5,IFERROR(INDEX(02_Model!$C$53:$C$57,MATCH($M42,02_Model!$B$53:$B$57,0)),0.5))))</f>
        <v/>
      </c>
      <c r="U42" s="23" t="str">
        <f aca="false">IF($S42="","",IF($S42&gt;=02_Model!$F$9,"1 — Deep dive now",IF($S42&gt;=02_Model!$F$10,"2 — Deep dive next",IF($S42&gt;=02_Model!$F$11,"3 — Light touch","4 — Park, re-check next cycle"))))</f>
        <v/>
      </c>
      <c r="V42" s="23" t="str">
        <f aca="false">IF(OR($S42="",$T42=""),"",IF($S42&gt;=02_Model!$F$10,IF($T42&gt;=02_Model!$F$12,"Long lead time — start vendor or replacement engagement now","Quick win — config or upgrade, schedule it"),IF($T42&gt;=02_Model!$F$12,"Low priority but hard — bundle with the next refresh","Low priority and easy — sweep in BAU")))</f>
        <v/>
      </c>
    </row>
    <row r="43" customFormat="false" ht="15" hidden="false" customHeight="false" outlineLevel="0" collapsed="false">
      <c r="A43" s="24"/>
      <c r="B43" s="24"/>
      <c r="C43" s="25"/>
      <c r="D43" s="25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5"/>
      <c r="P43" s="21" t="str">
        <f aca="false">IF(AND($H43="",$I43=""),"",MAX(IF($H43="",0,IFERROR(INDEX(02_Model!$C$29:$C$34,MATCH($H43,02_Model!$B$29:$B$34,0)),3)),IF($I43="",0,IFERROR(INDEX(02_Model!$C$38:$C$40,MATCH($I43,02_Model!$B$38:$B$40,0)),2))))</f>
        <v/>
      </c>
      <c r="Q43" s="21" t="str">
        <f aca="false">IF($E43="","",IFERROR(INDEX(02_Model!$C$5:$C$10,MATCH($E43,02_Model!$B$5:$B$10,0)),3))</f>
        <v/>
      </c>
      <c r="R43" s="22" t="str">
        <f aca="false">IF(AND($F43="",$G43=""),"",ROUND((IF($F43="",3,IFERROR(INDEX(02_Model!$C$13:$C$18,MATCH($F43,02_Model!$B$13:$B$18,0)),3))+IF($G43="",3,IFERROR(INDEX(02_Model!$C$21:$C$26,MATCH($G43,02_Model!$B$21:$B$26,0)),3)))/2,1))</f>
        <v/>
      </c>
      <c r="S43" s="21" t="str">
        <f aca="false">IF($B43="","",ROUND(100*(02_Model!$F$5*IF($P43="",3,$P43)/5+02_Model!$F$6*IF($Q43="",3,$Q43)/5+02_Model!$F$7*IF($R43="",3,$R43)/5),0))</f>
        <v/>
      </c>
      <c r="T43" s="22" t="str">
        <f aca="false">IF($L43="","",MIN(5,IFERROR(INDEX(02_Model!$C$44:$C$49,MATCH($L43,02_Model!$B$44:$B$49,0)),3)+IF($M43="",0.5,IFERROR(INDEX(02_Model!$C$53:$C$57,MATCH($M43,02_Model!$B$53:$B$57,0)),0.5))))</f>
        <v/>
      </c>
      <c r="U43" s="23" t="str">
        <f aca="false">IF($S43="","",IF($S43&gt;=02_Model!$F$9,"1 — Deep dive now",IF($S43&gt;=02_Model!$F$10,"2 — Deep dive next",IF($S43&gt;=02_Model!$F$11,"3 — Light touch","4 — Park, re-check next cycle"))))</f>
        <v/>
      </c>
      <c r="V43" s="23" t="str">
        <f aca="false">IF(OR($S43="",$T43=""),"",IF($S43&gt;=02_Model!$F$10,IF($T43&gt;=02_Model!$F$12,"Long lead time — start vendor or replacement engagement now","Quick win — config or upgrade, schedule it"),IF($T43&gt;=02_Model!$F$12,"Low priority but hard — bundle with the next refresh","Low priority and easy — sweep in BAU")))</f>
        <v/>
      </c>
    </row>
    <row r="44" customFormat="false" ht="15" hidden="false" customHeight="false" outlineLevel="0" collapsed="false">
      <c r="A44" s="24"/>
      <c r="B44" s="24"/>
      <c r="C44" s="25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5"/>
      <c r="P44" s="21" t="str">
        <f aca="false">IF(AND($H44="",$I44=""),"",MAX(IF($H44="",0,IFERROR(INDEX(02_Model!$C$29:$C$34,MATCH($H44,02_Model!$B$29:$B$34,0)),3)),IF($I44="",0,IFERROR(INDEX(02_Model!$C$38:$C$40,MATCH($I44,02_Model!$B$38:$B$40,0)),2))))</f>
        <v/>
      </c>
      <c r="Q44" s="21" t="str">
        <f aca="false">IF($E44="","",IFERROR(INDEX(02_Model!$C$5:$C$10,MATCH($E44,02_Model!$B$5:$B$10,0)),3))</f>
        <v/>
      </c>
      <c r="R44" s="22" t="str">
        <f aca="false">IF(AND($F44="",$G44=""),"",ROUND((IF($F44="",3,IFERROR(INDEX(02_Model!$C$13:$C$18,MATCH($F44,02_Model!$B$13:$B$18,0)),3))+IF($G44="",3,IFERROR(INDEX(02_Model!$C$21:$C$26,MATCH($G44,02_Model!$B$21:$B$26,0)),3)))/2,1))</f>
        <v/>
      </c>
      <c r="S44" s="21" t="str">
        <f aca="false">IF($B44="","",ROUND(100*(02_Model!$F$5*IF($P44="",3,$P44)/5+02_Model!$F$6*IF($Q44="",3,$Q44)/5+02_Model!$F$7*IF($R44="",3,$R44)/5),0))</f>
        <v/>
      </c>
      <c r="T44" s="22" t="str">
        <f aca="false">IF($L44="","",MIN(5,IFERROR(INDEX(02_Model!$C$44:$C$49,MATCH($L44,02_Model!$B$44:$B$49,0)),3)+IF($M44="",0.5,IFERROR(INDEX(02_Model!$C$53:$C$57,MATCH($M44,02_Model!$B$53:$B$57,0)),0.5))))</f>
        <v/>
      </c>
      <c r="U44" s="23" t="str">
        <f aca="false">IF($S44="","",IF($S44&gt;=02_Model!$F$9,"1 — Deep dive now",IF($S44&gt;=02_Model!$F$10,"2 — Deep dive next",IF($S44&gt;=02_Model!$F$11,"3 — Light touch","4 — Park, re-check next cycle"))))</f>
        <v/>
      </c>
      <c r="V44" s="23" t="str">
        <f aca="false">IF(OR($S44="",$T44=""),"",IF($S44&gt;=02_Model!$F$10,IF($T44&gt;=02_Model!$F$12,"Long lead time — start vendor or replacement engagement now","Quick win — config or upgrade, schedule it"),IF($T44&gt;=02_Model!$F$12,"Low priority but hard — bundle with the next refresh","Low priority and easy — sweep in BAU")))</f>
        <v/>
      </c>
    </row>
    <row r="45" customFormat="false" ht="15" hidden="false" customHeight="false" outlineLevel="0" collapsed="false">
      <c r="A45" s="24"/>
      <c r="B45" s="24"/>
      <c r="C45" s="25"/>
      <c r="D45" s="25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1" t="str">
        <f aca="false">IF(AND($H45="",$I45=""),"",MAX(IF($H45="",0,IFERROR(INDEX(02_Model!$C$29:$C$34,MATCH($H45,02_Model!$B$29:$B$34,0)),3)),IF($I45="",0,IFERROR(INDEX(02_Model!$C$38:$C$40,MATCH($I45,02_Model!$B$38:$B$40,0)),2))))</f>
        <v/>
      </c>
      <c r="Q45" s="21" t="str">
        <f aca="false">IF($E45="","",IFERROR(INDEX(02_Model!$C$5:$C$10,MATCH($E45,02_Model!$B$5:$B$10,0)),3))</f>
        <v/>
      </c>
      <c r="R45" s="22" t="str">
        <f aca="false">IF(AND($F45="",$G45=""),"",ROUND((IF($F45="",3,IFERROR(INDEX(02_Model!$C$13:$C$18,MATCH($F45,02_Model!$B$13:$B$18,0)),3))+IF($G45="",3,IFERROR(INDEX(02_Model!$C$21:$C$26,MATCH($G45,02_Model!$B$21:$B$26,0)),3)))/2,1))</f>
        <v/>
      </c>
      <c r="S45" s="21" t="str">
        <f aca="false">IF($B45="","",ROUND(100*(02_Model!$F$5*IF($P45="",3,$P45)/5+02_Model!$F$6*IF($Q45="",3,$Q45)/5+02_Model!$F$7*IF($R45="",3,$R45)/5),0))</f>
        <v/>
      </c>
      <c r="T45" s="22" t="str">
        <f aca="false">IF($L45="","",MIN(5,IFERROR(INDEX(02_Model!$C$44:$C$49,MATCH($L45,02_Model!$B$44:$B$49,0)),3)+IF($M45="",0.5,IFERROR(INDEX(02_Model!$C$53:$C$57,MATCH($M45,02_Model!$B$53:$B$57,0)),0.5))))</f>
        <v/>
      </c>
      <c r="U45" s="23" t="str">
        <f aca="false">IF($S45="","",IF($S45&gt;=02_Model!$F$9,"1 — Deep dive now",IF($S45&gt;=02_Model!$F$10,"2 — Deep dive next",IF($S45&gt;=02_Model!$F$11,"3 — Light touch","4 — Park, re-check next cycle"))))</f>
        <v/>
      </c>
      <c r="V45" s="23" t="str">
        <f aca="false">IF(OR($S45="",$T45=""),"",IF($S45&gt;=02_Model!$F$10,IF($T45&gt;=02_Model!$F$12,"Long lead time — start vendor or replacement engagement now","Quick win — config or upgrade, schedule it"),IF($T45&gt;=02_Model!$F$12,"Low priority but hard — bundle with the next refresh","Low priority and easy — sweep in BAU")))</f>
        <v/>
      </c>
    </row>
  </sheetData>
  <autoFilter ref="A4:V45"/>
  <mergeCells count="8">
    <mergeCell ref="A1:V1"/>
    <mergeCell ref="A2:V2"/>
    <mergeCell ref="A3:D3"/>
    <mergeCell ref="E3:G3"/>
    <mergeCell ref="H3:K3"/>
    <mergeCell ref="L3:M3"/>
    <mergeCell ref="N3:O3"/>
    <mergeCell ref="P3:V3"/>
  </mergeCells>
  <conditionalFormatting sqref="S6:S45">
    <cfRule type="colorScale" priority="2">
      <colorScale>
        <cfvo type="num" val="0"/>
        <cfvo type="num" val="50"/>
        <cfvo type="num" val="100"/>
        <color rgb="FFC6EFCE"/>
        <color rgb="FFFFEB9C"/>
        <color rgb="FFFFC7CE"/>
      </colorScale>
    </cfRule>
  </conditionalFormatting>
  <conditionalFormatting sqref="U6:U45">
    <cfRule type="cellIs" priority="3" operator="equal" aboveAverage="0" equalAverage="0" bottom="0" percent="0" rank="0" text="" dxfId="8">
      <formula>"1 — Deep dive now"</formula>
    </cfRule>
    <cfRule type="cellIs" priority="4" operator="equal" aboveAverage="0" equalAverage="0" bottom="0" percent="0" rank="0" text="" dxfId="9">
      <formula>"2 — Deep dive next"</formula>
    </cfRule>
  </conditionalFormatting>
  <dataValidations count="10">
    <dataValidation allowBlank="true" errorStyle="stop" operator="between" showDropDown="false" showErrorMessage="false" showInputMessage="false" sqref="E6:E45" type="list">
      <formula1>02_Model!$B$5:$B$10</formula1>
      <formula2>0</formula2>
    </dataValidation>
    <dataValidation allowBlank="true" errorStyle="stop" operator="between" showDropDown="false" showErrorMessage="false" showInputMessage="false" sqref="F6:F45" type="list">
      <formula1>02_Model!$B$13:$B$18</formula1>
      <formula2>0</formula2>
    </dataValidation>
    <dataValidation allowBlank="true" errorStyle="stop" operator="between" showDropDown="false" showErrorMessage="false" showInputMessage="false" sqref="G6:G45" type="list">
      <formula1>02_Model!$B$21:$B$26</formula1>
      <formula2>0</formula2>
    </dataValidation>
    <dataValidation allowBlank="true" errorStyle="stop" operator="between" showDropDown="false" showErrorMessage="false" showInputMessage="false" sqref="H6:H45" type="list">
      <formula1>02_Model!$B$29:$B$34</formula1>
      <formula2>0</formula2>
    </dataValidation>
    <dataValidation allowBlank="true" errorStyle="stop" operator="between" showDropDown="false" showErrorMessage="false" showInputMessage="false" sqref="I6:I45" type="list">
      <formula1>02_Model!$B$38:$B$40</formula1>
      <formula2>0</formula2>
    </dataValidation>
    <dataValidation allowBlank="true" errorStyle="stop" operator="between" showDropDown="false" showErrorMessage="false" showInputMessage="false" sqref="J6:J45" type="list">
      <formula1>02_Model!$B$61:$B$68</formula1>
      <formula2>0</formula2>
    </dataValidation>
    <dataValidation allowBlank="true" errorStyle="stop" operator="between" showDropDown="false" showErrorMessage="false" showInputMessage="false" sqref="K6:K45" type="list">
      <formula1>02_Model!$B$72:$B$77</formula1>
      <formula2>0</formula2>
    </dataValidation>
    <dataValidation allowBlank="true" errorStyle="stop" operator="between" showDropDown="false" showErrorMessage="false" showInputMessage="false" sqref="L6:L45" type="list">
      <formula1>02_Model!$B$44:$B$49</formula1>
      <formula2>0</formula2>
    </dataValidation>
    <dataValidation allowBlank="true" errorStyle="stop" operator="between" showDropDown="false" showErrorMessage="false" showInputMessage="false" sqref="M6:M45" type="list">
      <formula1>02_Model!$B$53:$B$57</formula1>
      <formula2>0</formula2>
    </dataValidation>
    <dataValidation allowBlank="true" errorStyle="stop" operator="between" showDropDown="false" showErrorMessage="false" showInputMessage="false" sqref="N6:N45" type="list">
      <formula1>02_Model!$B$81:$B$83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72"/>
  </cols>
  <sheetData>
    <row r="1" customFormat="false" ht="27.75" hidden="false" customHeight="true" outlineLevel="0" collapsed="false">
      <c r="A1" s="1" t="s">
        <v>142</v>
      </c>
      <c r="B1" s="1"/>
      <c r="C1" s="1"/>
      <c r="D1" s="1"/>
      <c r="E1" s="1"/>
    </row>
    <row r="3" customFormat="false" ht="19.5" hidden="false" customHeight="true" outlineLevel="0" collapsed="false">
      <c r="B3" s="2" t="s">
        <v>143</v>
      </c>
      <c r="C3" s="2"/>
      <c r="D3" s="2"/>
      <c r="E3" s="2"/>
    </row>
    <row r="4" customFormat="false" ht="15" hidden="false" customHeight="false" outlineLevel="0" collapsed="false">
      <c r="B4" s="8" t="s">
        <v>144</v>
      </c>
      <c r="C4" s="26" t="n">
        <f aca="false">COUNTA(01_Quickscan!$B$5:$B$45)</f>
        <v>1</v>
      </c>
      <c r="E4" s="4" t="s">
        <v>145</v>
      </c>
    </row>
    <row r="5" customFormat="false" ht="15" hidden="false" customHeight="false" outlineLevel="0" collapsed="false">
      <c r="B5" s="8" t="s">
        <v>146</v>
      </c>
      <c r="C5" s="26" t="n">
        <f aca="false">COUNTIF(01_Quickscan!$N$5:$N$45,"Low*")</f>
        <v>0</v>
      </c>
      <c r="E5" s="4" t="s">
        <v>147</v>
      </c>
    </row>
    <row r="6" customFormat="false" ht="15" hidden="false" customHeight="false" outlineLevel="0" collapsed="false">
      <c r="B6" s="8" t="s">
        <v>148</v>
      </c>
      <c r="C6" s="26" t="n">
        <f aca="true">SUMPRODUCT(--(COUNTIF(OFFSET(01_Quickscan!$E$5,ROW(01_Quickscan!$E$5:$E$45)-ROW(01_Quickscan!$E$5),0,1,9),"Unknown")&gt;0))</f>
        <v>0</v>
      </c>
      <c r="E6" s="4" t="s">
        <v>149</v>
      </c>
    </row>
    <row r="8" customFormat="false" ht="19.5" hidden="false" customHeight="true" outlineLevel="0" collapsed="false">
      <c r="B8" s="2" t="s">
        <v>150</v>
      </c>
      <c r="C8" s="2"/>
      <c r="D8" s="2"/>
      <c r="E8" s="2"/>
    </row>
    <row r="9" customFormat="false" ht="15" hidden="false" customHeight="false" outlineLevel="0" collapsed="false">
      <c r="C9" s="27" t="s">
        <v>151</v>
      </c>
      <c r="D9" s="27" t="s">
        <v>152</v>
      </c>
    </row>
    <row r="10" customFormat="false" ht="15" hidden="false" customHeight="false" outlineLevel="0" collapsed="false">
      <c r="B10" s="8" t="s">
        <v>153</v>
      </c>
      <c r="C10" s="26" t="n">
        <f aca="false">COUNTIF(01_Quickscan!$U$5:$U$45,"1 — Deep dive now")</f>
        <v>1</v>
      </c>
      <c r="D10" s="26" t="n">
        <f aca="false">COUNTIFS(01_Quickscan!$U$5:$U$45,"1 — Deep dive now",01_Quickscan!$T$5:$T$45,"&gt;="&amp;02_Model!$F$12)</f>
        <v>1</v>
      </c>
      <c r="E10" s="4" t="s">
        <v>154</v>
      </c>
    </row>
    <row r="11" customFormat="false" ht="15" hidden="false" customHeight="false" outlineLevel="0" collapsed="false">
      <c r="B11" s="8" t="s">
        <v>155</v>
      </c>
      <c r="C11" s="26" t="n">
        <f aca="false">COUNTIF(01_Quickscan!$U$5:$U$45,"2 — Deep dive next")</f>
        <v>0</v>
      </c>
      <c r="D11" s="26" t="n">
        <f aca="false">COUNTIFS(01_Quickscan!$U$5:$U$45,"2 — Deep dive next",01_Quickscan!$T$5:$T$45,"&gt;="&amp;02_Model!$F$12)</f>
        <v>0</v>
      </c>
      <c r="E11" s="4" t="s">
        <v>156</v>
      </c>
    </row>
    <row r="12" customFormat="false" ht="15" hidden="false" customHeight="false" outlineLevel="0" collapsed="false">
      <c r="B12" s="8" t="s">
        <v>157</v>
      </c>
      <c r="C12" s="26" t="n">
        <f aca="false">COUNTIF(01_Quickscan!$U$5:$U$45,"3 — Light touch")</f>
        <v>0</v>
      </c>
      <c r="D12" s="26" t="n">
        <f aca="false">COUNTIFS(01_Quickscan!$U$5:$U$45,"3 — Light touch",01_Quickscan!$T$5:$T$45,"&gt;="&amp;02_Model!$F$12)</f>
        <v>0</v>
      </c>
      <c r="E12" s="4" t="s">
        <v>158</v>
      </c>
    </row>
    <row r="13" customFormat="false" ht="15" hidden="false" customHeight="false" outlineLevel="0" collapsed="false">
      <c r="B13" s="8" t="s">
        <v>159</v>
      </c>
      <c r="C13" s="26" t="n">
        <f aca="false">COUNTIF(01_Quickscan!$U$5:$U$45,"4 — Park, re-check next cycle")</f>
        <v>0</v>
      </c>
      <c r="D13" s="26" t="n">
        <f aca="false">COUNTIFS(01_Quickscan!$U$5:$U$45,"4 — Park, re-check next cycle",01_Quickscan!$T$5:$T$45,"&gt;="&amp;02_Model!$F$12)</f>
        <v>0</v>
      </c>
      <c r="E13" s="4" t="s">
        <v>160</v>
      </c>
    </row>
    <row r="15" customFormat="false" ht="19.5" hidden="false" customHeight="true" outlineLevel="0" collapsed="false">
      <c r="B15" s="2" t="s">
        <v>161</v>
      </c>
      <c r="C15" s="2"/>
      <c r="D15" s="2"/>
      <c r="E15" s="2"/>
    </row>
    <row r="16" customFormat="false" ht="15" hidden="false" customHeight="false" outlineLevel="0" collapsed="false">
      <c r="B16" s="8" t="s">
        <v>40</v>
      </c>
      <c r="C16" s="26" t="n">
        <f aca="false">COUNTIF(01_Quickscan!$E$5:$E$45,"Internet-facing")</f>
        <v>1</v>
      </c>
      <c r="D16" s="26" t="n">
        <f aca="false">COUNTIFS(01_Quickscan!$E$5:$E$45,"Internet-facing",01_Quickscan!$I$5:$I$45,"Yes*")</f>
        <v>1</v>
      </c>
      <c r="E16" s="4" t="s">
        <v>162</v>
      </c>
    </row>
    <row r="17" customFormat="false" ht="15" hidden="false" customHeight="false" outlineLevel="0" collapsed="false">
      <c r="B17" s="8" t="s">
        <v>43</v>
      </c>
      <c r="C17" s="26" t="n">
        <f aca="false">COUNTIF(01_Quickscan!$E$5:$E$45,"Partner / extranet")</f>
        <v>0</v>
      </c>
      <c r="D17" s="26" t="n">
        <f aca="false">COUNTIFS(01_Quickscan!$E$5:$E$45,"Partner / extranet",01_Quickscan!$I$5:$I$45,"Yes*")</f>
        <v>0</v>
      </c>
      <c r="E17" s="4" t="s">
        <v>163</v>
      </c>
    </row>
    <row r="18" customFormat="false" ht="15" hidden="false" customHeight="false" outlineLevel="0" collapsed="false">
      <c r="B18" s="8" t="s">
        <v>46</v>
      </c>
      <c r="C18" s="26" t="n">
        <f aca="false">COUNTIF(01_Quickscan!$E$5:$E$45,"Internal — crosses zones")</f>
        <v>0</v>
      </c>
      <c r="D18" s="26" t="n">
        <f aca="false">COUNTIFS(01_Quickscan!$E$5:$E$45,"Internal — crosses zones",01_Quickscan!$I$5:$I$45,"Yes*")</f>
        <v>0</v>
      </c>
      <c r="E18" s="4" t="s">
        <v>164</v>
      </c>
    </row>
    <row r="19" customFormat="false" ht="15" hidden="false" customHeight="false" outlineLevel="0" collapsed="false">
      <c r="B19" s="8" t="s">
        <v>49</v>
      </c>
      <c r="C19" s="26" t="n">
        <f aca="false">COUNTIF(01_Quickscan!$E$5:$E$45,"Internal — single zone")</f>
        <v>0</v>
      </c>
      <c r="D19" s="26" t="n">
        <f aca="false">COUNTIFS(01_Quickscan!$E$5:$E$45,"Internal — single zone",01_Quickscan!$I$5:$I$45,"Yes*")</f>
        <v>0</v>
      </c>
      <c r="E19" s="4" t="s">
        <v>165</v>
      </c>
    </row>
    <row r="20" customFormat="false" ht="15" hidden="false" customHeight="false" outlineLevel="0" collapsed="false">
      <c r="B20" s="8" t="s">
        <v>51</v>
      </c>
      <c r="C20" s="26" t="n">
        <f aca="false">COUNTIF(01_Quickscan!$E$5:$E$45,"Isolated / offline")</f>
        <v>0</v>
      </c>
      <c r="D20" s="26" t="n">
        <f aca="false">COUNTIFS(01_Quickscan!$E$5:$E$45,"Isolated / offline",01_Quickscan!$I$5:$I$45,"Yes*")</f>
        <v>0</v>
      </c>
      <c r="E20" s="4" t="s">
        <v>166</v>
      </c>
    </row>
    <row r="22" customFormat="false" ht="19.5" hidden="false" customHeight="true" outlineLevel="0" collapsed="false">
      <c r="B22" s="2" t="s">
        <v>167</v>
      </c>
      <c r="C22" s="2"/>
      <c r="D22" s="2"/>
      <c r="E22" s="2"/>
    </row>
    <row r="23" customFormat="false" ht="15" hidden="false" customHeight="false" outlineLevel="0" collapsed="false">
      <c r="B23" s="8" t="s">
        <v>83</v>
      </c>
      <c r="C23" s="26" t="n">
        <f aca="false">COUNTIF(01_Quickscan!$L$5:$L$45,"Configuration change only")</f>
        <v>0</v>
      </c>
      <c r="E23" s="4" t="s">
        <v>168</v>
      </c>
    </row>
    <row r="24" customFormat="false" ht="15" hidden="false" customHeight="false" outlineLevel="0" collapsed="false">
      <c r="B24" s="8" t="s">
        <v>84</v>
      </c>
      <c r="C24" s="26" t="n">
        <f aca="false">COUNTIF(01_Quickscan!$L$5:$L$45,"Library / version upgrade")</f>
        <v>0</v>
      </c>
      <c r="E24" s="4" t="s">
        <v>169</v>
      </c>
    </row>
    <row r="25" customFormat="false" ht="15" hidden="false" customHeight="false" outlineLevel="0" collapsed="false">
      <c r="B25" s="8" t="s">
        <v>85</v>
      </c>
      <c r="C25" s="26" t="n">
        <f aca="false">COUNTIF(01_Quickscan!$L$5:$L$45,"Code change and release")</f>
        <v>0</v>
      </c>
      <c r="E25" s="4" t="s">
        <v>170</v>
      </c>
    </row>
    <row r="26" customFormat="false" ht="15" hidden="false" customHeight="false" outlineLevel="0" collapsed="false">
      <c r="B26" s="8" t="s">
        <v>86</v>
      </c>
      <c r="C26" s="26" t="n">
        <f aca="false">COUNTIF(01_Quickscan!$L$5:$L$45,"Vendor release required")</f>
        <v>1</v>
      </c>
      <c r="E26" s="4" t="s">
        <v>171</v>
      </c>
    </row>
    <row r="27" customFormat="false" ht="15" hidden="false" customHeight="false" outlineLevel="0" collapsed="false">
      <c r="B27" s="8" t="s">
        <v>87</v>
      </c>
      <c r="C27" s="26" t="n">
        <f aca="false">COUNTIF(01_Quickscan!$L$5:$L$45,"Replace the product or hardware")</f>
        <v>0</v>
      </c>
      <c r="E27" s="4" t="s">
        <v>172</v>
      </c>
    </row>
    <row r="28" customFormat="false" ht="15" hidden="false" customHeight="false" outlineLevel="0" collapsed="false">
      <c r="B28" s="8" t="s">
        <v>54</v>
      </c>
      <c r="C28" s="26" t="n">
        <f aca="false">COUNTIF(01_Quickscan!$L$5:$L$45,"Unknown")</f>
        <v>0</v>
      </c>
      <c r="E28" s="4" t="s">
        <v>173</v>
      </c>
    </row>
    <row r="30" customFormat="false" ht="19.5" hidden="false" customHeight="true" outlineLevel="0" collapsed="false">
      <c r="B30" s="2" t="s">
        <v>174</v>
      </c>
      <c r="C30" s="2"/>
      <c r="D30" s="2"/>
      <c r="E30" s="2"/>
    </row>
    <row r="31" customFormat="false" ht="23.85" hidden="false" customHeight="false" outlineLevel="0" collapsed="false">
      <c r="B31" s="8" t="s">
        <v>175</v>
      </c>
      <c r="C31" s="26" t="n">
        <f aca="false">COUNTIF(01_Quickscan!$I$5:$I$45,"Yes*")</f>
        <v>1</v>
      </c>
      <c r="E31" s="4" t="s">
        <v>176</v>
      </c>
    </row>
    <row r="32" customFormat="false" ht="23.85" hidden="false" customHeight="false" outlineLevel="0" collapsed="false">
      <c r="B32" s="8" t="s">
        <v>177</v>
      </c>
      <c r="C32" s="26" t="n">
        <f aca="false">COUNTIFS(01_Quickscan!$I$5:$I$45,"Yes*",01_Quickscan!$E$5:$E$45,"Internet-facing")</f>
        <v>1</v>
      </c>
      <c r="E32" s="4" t="s">
        <v>178</v>
      </c>
    </row>
  </sheetData>
  <mergeCells count="6">
    <mergeCell ref="A1:E1"/>
    <mergeCell ref="B3:E3"/>
    <mergeCell ref="B8:E8"/>
    <mergeCell ref="B15:E15"/>
    <mergeCell ref="B22:E22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2026-09-04T07:22:54Z</dcterms:created>
  <dc:creator>openpyxl</dc:creator>
  <dc:description/>
  <dc:language>en-US</dc:language>
  <cp:lastModifiedBy/>
  <dcterms:modified xsi:type="dcterms:W3CDTF">2026-09-04T07:22:54Z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